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1"/>
  <workbookPr/>
  <mc:AlternateContent xmlns:mc="http://schemas.openxmlformats.org/markup-compatibility/2006">
    <mc:Choice Requires="x15">
      <x15ac:absPath xmlns:x15ac="http://schemas.microsoft.com/office/spreadsheetml/2010/11/ac" url="D:\Portfolio\End-to-End Analytics\Banking MIS Dashboard\"/>
    </mc:Choice>
  </mc:AlternateContent>
  <xr:revisionPtr revIDLastSave="0" documentId="13_ncr:10000001_{D3DBBE1C-0130-424F-BAE4-6334B5171385}" xr6:coauthVersionLast="47" xr6:coauthVersionMax="47" xr10:uidLastSave="{00000000-0000-0000-0000-000000000000}"/>
  <bookViews>
    <workbookView xWindow="-108" yWindow="-108" windowWidth="23256" windowHeight="12456" activeTab="1" xr2:uid="{6D77861F-2796-4824-9811-ECA55D599FF2}"/>
  </bookViews>
  <sheets>
    <sheet name="Raw_Attendance" sheetId="2" r:id="rId1"/>
    <sheet name="Attendance" sheetId="1" r:id="rId2"/>
    <sheet name="Data Profiling Checklist" sheetId="3" r:id="rId3"/>
  </sheets>
  <externalReferences>
    <externalReference r:id="rId4"/>
  </externalReferences>
  <definedNames>
    <definedName name="_xlnm._FilterDatabase" localSheetId="1" hidden="1">Attendance!$A$1:$G$477</definedName>
    <definedName name="_xlnm._FilterDatabase" localSheetId="0" hidden="1">Raw_Attendance!$A$1:$G$501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01" i="2" l="1"/>
  <c r="I501" i="2"/>
  <c r="H501" i="2"/>
  <c r="J500" i="2"/>
  <c r="I500" i="2"/>
  <c r="H500" i="2"/>
  <c r="J499" i="2"/>
  <c r="I499" i="2"/>
  <c r="H499" i="2"/>
  <c r="J498" i="2"/>
  <c r="I498" i="2"/>
  <c r="H498" i="2"/>
  <c r="J497" i="2"/>
  <c r="I497" i="2"/>
  <c r="H497" i="2"/>
  <c r="J496" i="2"/>
  <c r="I496" i="2"/>
  <c r="H496" i="2"/>
  <c r="J495" i="2"/>
  <c r="I495" i="2"/>
  <c r="H495" i="2"/>
  <c r="J494" i="2"/>
  <c r="I494" i="2"/>
  <c r="H494" i="2"/>
  <c r="J493" i="2"/>
  <c r="I493" i="2"/>
  <c r="H493" i="2"/>
  <c r="J492" i="2"/>
  <c r="I492" i="2"/>
  <c r="H492" i="2"/>
  <c r="J491" i="2"/>
  <c r="I491" i="2"/>
  <c r="H491" i="2"/>
  <c r="J490" i="2"/>
  <c r="I490" i="2"/>
  <c r="H490" i="2"/>
  <c r="J489" i="2"/>
  <c r="I489" i="2"/>
  <c r="H489" i="2"/>
  <c r="J488" i="2"/>
  <c r="I488" i="2"/>
  <c r="H488" i="2"/>
  <c r="J487" i="2"/>
  <c r="I487" i="2"/>
  <c r="H487" i="2"/>
  <c r="J486" i="2"/>
  <c r="I486" i="2"/>
  <c r="H486" i="2"/>
  <c r="J485" i="2"/>
  <c r="I485" i="2"/>
  <c r="H485" i="2"/>
  <c r="J484" i="2"/>
  <c r="I484" i="2"/>
  <c r="H484" i="2"/>
  <c r="J483" i="2"/>
  <c r="I483" i="2"/>
  <c r="H483" i="2"/>
  <c r="J482" i="2"/>
  <c r="I482" i="2"/>
  <c r="H482" i="2"/>
  <c r="J481" i="2"/>
  <c r="I481" i="2"/>
  <c r="H481" i="2"/>
  <c r="J480" i="2"/>
  <c r="I480" i="2"/>
  <c r="H480" i="2"/>
  <c r="J479" i="2"/>
  <c r="I479" i="2"/>
  <c r="H479" i="2"/>
  <c r="J478" i="2"/>
  <c r="I478" i="2"/>
  <c r="H478" i="2"/>
  <c r="J477" i="2"/>
  <c r="I477" i="2"/>
  <c r="H477" i="2"/>
  <c r="J476" i="2"/>
  <c r="I476" i="2"/>
  <c r="H476" i="2"/>
  <c r="J475" i="2"/>
  <c r="I475" i="2"/>
  <c r="H475" i="2"/>
  <c r="J474" i="2"/>
  <c r="I474" i="2"/>
  <c r="H474" i="2"/>
  <c r="J473" i="2"/>
  <c r="I473" i="2"/>
  <c r="H473" i="2"/>
  <c r="J472" i="2"/>
  <c r="I472" i="2"/>
  <c r="H472" i="2"/>
  <c r="J471" i="2"/>
  <c r="I471" i="2"/>
  <c r="H471" i="2"/>
  <c r="J470" i="2"/>
  <c r="I470" i="2"/>
  <c r="H470" i="2"/>
  <c r="J469" i="2"/>
  <c r="I469" i="2"/>
  <c r="H469" i="2"/>
  <c r="J468" i="2"/>
  <c r="I468" i="2"/>
  <c r="H468" i="2"/>
  <c r="J467" i="2"/>
  <c r="I467" i="2"/>
  <c r="H467" i="2"/>
  <c r="J466" i="2"/>
  <c r="I466" i="2"/>
  <c r="H466" i="2"/>
  <c r="J465" i="2"/>
  <c r="I465" i="2"/>
  <c r="H465" i="2"/>
  <c r="J464" i="2"/>
  <c r="I464" i="2"/>
  <c r="H464" i="2"/>
  <c r="J463" i="2"/>
  <c r="I463" i="2"/>
  <c r="H463" i="2"/>
  <c r="J462" i="2"/>
  <c r="I462" i="2"/>
  <c r="H462" i="2"/>
  <c r="J461" i="2"/>
  <c r="I461" i="2"/>
  <c r="H461" i="2"/>
  <c r="J460" i="2"/>
  <c r="I460" i="2"/>
  <c r="H460" i="2"/>
  <c r="J459" i="2"/>
  <c r="I459" i="2"/>
  <c r="H459" i="2"/>
  <c r="J458" i="2"/>
  <c r="I458" i="2"/>
  <c r="H458" i="2"/>
  <c r="J457" i="2"/>
  <c r="I457" i="2"/>
  <c r="H457" i="2"/>
  <c r="J456" i="2"/>
  <c r="I456" i="2"/>
  <c r="H456" i="2"/>
  <c r="J455" i="2"/>
  <c r="I455" i="2"/>
  <c r="H455" i="2"/>
  <c r="J454" i="2"/>
  <c r="I454" i="2"/>
  <c r="H454" i="2"/>
  <c r="J453" i="2"/>
  <c r="I453" i="2"/>
  <c r="H453" i="2"/>
  <c r="J452" i="2"/>
  <c r="I452" i="2"/>
  <c r="H452" i="2"/>
  <c r="J451" i="2"/>
  <c r="I451" i="2"/>
  <c r="H451" i="2"/>
  <c r="J450" i="2"/>
  <c r="I450" i="2"/>
  <c r="H450" i="2"/>
  <c r="J449" i="2"/>
  <c r="I449" i="2"/>
  <c r="H449" i="2"/>
  <c r="J448" i="2"/>
  <c r="I448" i="2"/>
  <c r="H448" i="2"/>
  <c r="J447" i="2"/>
  <c r="I447" i="2"/>
  <c r="H447" i="2"/>
  <c r="J446" i="2"/>
  <c r="I446" i="2"/>
  <c r="H446" i="2"/>
  <c r="J445" i="2"/>
  <c r="I445" i="2"/>
  <c r="H445" i="2"/>
  <c r="J444" i="2"/>
  <c r="I444" i="2"/>
  <c r="H444" i="2"/>
  <c r="J443" i="2"/>
  <c r="I443" i="2"/>
  <c r="H443" i="2"/>
  <c r="J442" i="2"/>
  <c r="I442" i="2"/>
  <c r="H442" i="2"/>
  <c r="J441" i="2"/>
  <c r="I441" i="2"/>
  <c r="H441" i="2"/>
  <c r="J440" i="2"/>
  <c r="I440" i="2"/>
  <c r="H440" i="2"/>
  <c r="J439" i="2"/>
  <c r="I439" i="2"/>
  <c r="H439" i="2"/>
  <c r="J438" i="2"/>
  <c r="I438" i="2"/>
  <c r="H438" i="2"/>
  <c r="J437" i="2"/>
  <c r="I437" i="2"/>
  <c r="H437" i="2"/>
  <c r="J436" i="2"/>
  <c r="I436" i="2"/>
  <c r="H436" i="2"/>
  <c r="J435" i="2"/>
  <c r="I435" i="2"/>
  <c r="H435" i="2"/>
  <c r="J434" i="2"/>
  <c r="I434" i="2"/>
  <c r="H434" i="2"/>
  <c r="J433" i="2"/>
  <c r="I433" i="2"/>
  <c r="H433" i="2"/>
  <c r="J432" i="2"/>
  <c r="I432" i="2"/>
  <c r="H432" i="2"/>
  <c r="J431" i="2"/>
  <c r="I431" i="2"/>
  <c r="H431" i="2"/>
  <c r="J430" i="2"/>
  <c r="I430" i="2"/>
  <c r="H430" i="2"/>
  <c r="J429" i="2"/>
  <c r="I429" i="2"/>
  <c r="H429" i="2"/>
  <c r="J428" i="2"/>
  <c r="I428" i="2"/>
  <c r="H428" i="2"/>
  <c r="J427" i="2"/>
  <c r="I427" i="2"/>
  <c r="H427" i="2"/>
  <c r="J426" i="2"/>
  <c r="I426" i="2"/>
  <c r="H426" i="2"/>
  <c r="J425" i="2"/>
  <c r="I425" i="2"/>
  <c r="H425" i="2"/>
  <c r="J424" i="2"/>
  <c r="I424" i="2"/>
  <c r="H424" i="2"/>
  <c r="J423" i="2"/>
  <c r="I423" i="2"/>
  <c r="H423" i="2"/>
  <c r="J422" i="2"/>
  <c r="I422" i="2"/>
  <c r="H422" i="2"/>
  <c r="J421" i="2"/>
  <c r="I421" i="2"/>
  <c r="H421" i="2"/>
  <c r="J420" i="2"/>
  <c r="I420" i="2"/>
  <c r="H420" i="2"/>
  <c r="J419" i="2"/>
  <c r="I419" i="2"/>
  <c r="H419" i="2"/>
  <c r="J418" i="2"/>
  <c r="I418" i="2"/>
  <c r="H418" i="2"/>
  <c r="J417" i="2"/>
  <c r="I417" i="2"/>
  <c r="H417" i="2"/>
  <c r="J416" i="2"/>
  <c r="I416" i="2"/>
  <c r="H416" i="2"/>
  <c r="J415" i="2"/>
  <c r="I415" i="2"/>
  <c r="H415" i="2"/>
  <c r="J414" i="2"/>
  <c r="I414" i="2"/>
  <c r="H414" i="2"/>
  <c r="J413" i="2"/>
  <c r="I413" i="2"/>
  <c r="H413" i="2"/>
  <c r="J412" i="2"/>
  <c r="I412" i="2"/>
  <c r="H412" i="2"/>
  <c r="J411" i="2"/>
  <c r="I411" i="2"/>
  <c r="H411" i="2"/>
  <c r="J410" i="2"/>
  <c r="I410" i="2"/>
  <c r="H410" i="2"/>
  <c r="J409" i="2"/>
  <c r="I409" i="2"/>
  <c r="H409" i="2"/>
  <c r="J408" i="2"/>
  <c r="I408" i="2"/>
  <c r="H408" i="2"/>
  <c r="J407" i="2"/>
  <c r="I407" i="2"/>
  <c r="H407" i="2"/>
  <c r="J406" i="2"/>
  <c r="I406" i="2"/>
  <c r="H406" i="2"/>
  <c r="J405" i="2"/>
  <c r="I405" i="2"/>
  <c r="H405" i="2"/>
  <c r="J404" i="2"/>
  <c r="I404" i="2"/>
  <c r="H404" i="2"/>
  <c r="J403" i="2"/>
  <c r="I403" i="2"/>
  <c r="H403" i="2"/>
  <c r="J402" i="2"/>
  <c r="I402" i="2"/>
  <c r="H402" i="2"/>
  <c r="J401" i="2"/>
  <c r="I401" i="2"/>
  <c r="H401" i="2"/>
  <c r="J400" i="2"/>
  <c r="I400" i="2"/>
  <c r="H400" i="2"/>
  <c r="J399" i="2"/>
  <c r="I399" i="2"/>
  <c r="H399" i="2"/>
  <c r="J398" i="2"/>
  <c r="I398" i="2"/>
  <c r="H398" i="2"/>
  <c r="J397" i="2"/>
  <c r="I397" i="2"/>
  <c r="H397" i="2"/>
  <c r="J396" i="2"/>
  <c r="I396" i="2"/>
  <c r="H396" i="2"/>
  <c r="J395" i="2"/>
  <c r="I395" i="2"/>
  <c r="H395" i="2"/>
  <c r="J394" i="2"/>
  <c r="I394" i="2"/>
  <c r="H394" i="2"/>
  <c r="J393" i="2"/>
  <c r="I393" i="2"/>
  <c r="H393" i="2"/>
  <c r="J392" i="2"/>
  <c r="I392" i="2"/>
  <c r="H392" i="2"/>
  <c r="J391" i="2"/>
  <c r="I391" i="2"/>
  <c r="H391" i="2"/>
  <c r="J390" i="2"/>
  <c r="I390" i="2"/>
  <c r="H390" i="2"/>
  <c r="J389" i="2"/>
  <c r="I389" i="2"/>
  <c r="H389" i="2"/>
  <c r="J388" i="2"/>
  <c r="I388" i="2"/>
  <c r="H388" i="2"/>
  <c r="J387" i="2"/>
  <c r="I387" i="2"/>
  <c r="H387" i="2"/>
  <c r="J386" i="2"/>
  <c r="I386" i="2"/>
  <c r="H386" i="2"/>
  <c r="J385" i="2"/>
  <c r="I385" i="2"/>
  <c r="H385" i="2"/>
  <c r="J384" i="2"/>
  <c r="I384" i="2"/>
  <c r="H384" i="2"/>
  <c r="J383" i="2"/>
  <c r="I383" i="2"/>
  <c r="H383" i="2"/>
  <c r="J382" i="2"/>
  <c r="I382" i="2"/>
  <c r="H382" i="2"/>
  <c r="J381" i="2"/>
  <c r="I381" i="2"/>
  <c r="H381" i="2"/>
  <c r="J380" i="2"/>
  <c r="I380" i="2"/>
  <c r="H380" i="2"/>
  <c r="J379" i="2"/>
  <c r="I379" i="2"/>
  <c r="H379" i="2"/>
  <c r="J378" i="2"/>
  <c r="I378" i="2"/>
  <c r="H378" i="2"/>
  <c r="J377" i="2"/>
  <c r="I377" i="2"/>
  <c r="H377" i="2"/>
  <c r="J376" i="2"/>
  <c r="I376" i="2"/>
  <c r="H376" i="2"/>
  <c r="J375" i="2"/>
  <c r="I375" i="2"/>
  <c r="H375" i="2"/>
  <c r="J374" i="2"/>
  <c r="I374" i="2"/>
  <c r="H374" i="2"/>
  <c r="J373" i="2"/>
  <c r="I373" i="2"/>
  <c r="H373" i="2"/>
  <c r="J372" i="2"/>
  <c r="I372" i="2"/>
  <c r="H372" i="2"/>
  <c r="J371" i="2"/>
  <c r="I371" i="2"/>
  <c r="H371" i="2"/>
  <c r="J370" i="2"/>
  <c r="I370" i="2"/>
  <c r="H370" i="2"/>
  <c r="J369" i="2"/>
  <c r="I369" i="2"/>
  <c r="H369" i="2"/>
  <c r="J368" i="2"/>
  <c r="I368" i="2"/>
  <c r="H368" i="2"/>
  <c r="J367" i="2"/>
  <c r="I367" i="2"/>
  <c r="H367" i="2"/>
  <c r="J366" i="2"/>
  <c r="I366" i="2"/>
  <c r="H366" i="2"/>
  <c r="J365" i="2"/>
  <c r="I365" i="2"/>
  <c r="H365" i="2"/>
  <c r="J364" i="2"/>
  <c r="I364" i="2"/>
  <c r="H364" i="2"/>
  <c r="J363" i="2"/>
  <c r="I363" i="2"/>
  <c r="H363" i="2"/>
  <c r="J362" i="2"/>
  <c r="I362" i="2"/>
  <c r="H362" i="2"/>
  <c r="J361" i="2"/>
  <c r="I361" i="2"/>
  <c r="H361" i="2"/>
  <c r="J360" i="2"/>
  <c r="I360" i="2"/>
  <c r="H360" i="2"/>
  <c r="J359" i="2"/>
  <c r="I359" i="2"/>
  <c r="H359" i="2"/>
  <c r="J358" i="2"/>
  <c r="I358" i="2"/>
  <c r="H358" i="2"/>
  <c r="J357" i="2"/>
  <c r="I357" i="2"/>
  <c r="H357" i="2"/>
  <c r="J356" i="2"/>
  <c r="I356" i="2"/>
  <c r="H356" i="2"/>
  <c r="J355" i="2"/>
  <c r="I355" i="2"/>
  <c r="H355" i="2"/>
  <c r="J354" i="2"/>
  <c r="I354" i="2"/>
  <c r="H354" i="2"/>
  <c r="J353" i="2"/>
  <c r="I353" i="2"/>
  <c r="H353" i="2"/>
  <c r="J352" i="2"/>
  <c r="I352" i="2"/>
  <c r="H352" i="2"/>
  <c r="J351" i="2"/>
  <c r="I351" i="2"/>
  <c r="H351" i="2"/>
  <c r="J350" i="2"/>
  <c r="I350" i="2"/>
  <c r="H350" i="2"/>
  <c r="J349" i="2"/>
  <c r="I349" i="2"/>
  <c r="H349" i="2"/>
  <c r="J348" i="2"/>
  <c r="I348" i="2"/>
  <c r="H348" i="2"/>
  <c r="J347" i="2"/>
  <c r="I347" i="2"/>
  <c r="H347" i="2"/>
  <c r="J346" i="2"/>
  <c r="I346" i="2"/>
  <c r="H346" i="2"/>
  <c r="J345" i="2"/>
  <c r="I345" i="2"/>
  <c r="H345" i="2"/>
  <c r="J344" i="2"/>
  <c r="I344" i="2"/>
  <c r="H344" i="2"/>
  <c r="J343" i="2"/>
  <c r="I343" i="2"/>
  <c r="H343" i="2"/>
  <c r="J342" i="2"/>
  <c r="I342" i="2"/>
  <c r="H342" i="2"/>
  <c r="J341" i="2"/>
  <c r="I341" i="2"/>
  <c r="H341" i="2"/>
  <c r="J340" i="2"/>
  <c r="I340" i="2"/>
  <c r="H340" i="2"/>
  <c r="J339" i="2"/>
  <c r="I339" i="2"/>
  <c r="H339" i="2"/>
  <c r="J338" i="2"/>
  <c r="I338" i="2"/>
  <c r="H338" i="2"/>
  <c r="J337" i="2"/>
  <c r="I337" i="2"/>
  <c r="H337" i="2"/>
  <c r="J336" i="2"/>
  <c r="I336" i="2"/>
  <c r="H336" i="2"/>
  <c r="J335" i="2"/>
  <c r="I335" i="2"/>
  <c r="H335" i="2"/>
  <c r="J334" i="2"/>
  <c r="I334" i="2"/>
  <c r="H334" i="2"/>
  <c r="J333" i="2"/>
  <c r="I333" i="2"/>
  <c r="H333" i="2"/>
  <c r="J332" i="2"/>
  <c r="I332" i="2"/>
  <c r="H332" i="2"/>
  <c r="J331" i="2"/>
  <c r="I331" i="2"/>
  <c r="H331" i="2"/>
  <c r="J330" i="2"/>
  <c r="I330" i="2"/>
  <c r="H330" i="2"/>
  <c r="J329" i="2"/>
  <c r="I329" i="2"/>
  <c r="H329" i="2"/>
  <c r="J328" i="2"/>
  <c r="I328" i="2"/>
  <c r="H328" i="2"/>
  <c r="J327" i="2"/>
  <c r="I327" i="2"/>
  <c r="H327" i="2"/>
  <c r="J326" i="2"/>
  <c r="I326" i="2"/>
  <c r="H326" i="2"/>
  <c r="J325" i="2"/>
  <c r="I325" i="2"/>
  <c r="H325" i="2"/>
  <c r="J324" i="2"/>
  <c r="I324" i="2"/>
  <c r="H324" i="2"/>
  <c r="J323" i="2"/>
  <c r="I323" i="2"/>
  <c r="H323" i="2"/>
  <c r="J322" i="2"/>
  <c r="I322" i="2"/>
  <c r="H322" i="2"/>
  <c r="J321" i="2"/>
  <c r="I321" i="2"/>
  <c r="H321" i="2"/>
  <c r="J320" i="2"/>
  <c r="I320" i="2"/>
  <c r="H320" i="2"/>
  <c r="J319" i="2"/>
  <c r="I319" i="2"/>
  <c r="H319" i="2"/>
  <c r="J318" i="2"/>
  <c r="I318" i="2"/>
  <c r="H318" i="2"/>
  <c r="J317" i="2"/>
  <c r="I317" i="2"/>
  <c r="H317" i="2"/>
  <c r="J316" i="2"/>
  <c r="I316" i="2"/>
  <c r="H316" i="2"/>
  <c r="J315" i="2"/>
  <c r="I315" i="2"/>
  <c r="H315" i="2"/>
  <c r="J314" i="2"/>
  <c r="I314" i="2"/>
  <c r="H314" i="2"/>
  <c r="J313" i="2"/>
  <c r="I313" i="2"/>
  <c r="H313" i="2"/>
  <c r="J312" i="2"/>
  <c r="I312" i="2"/>
  <c r="H312" i="2"/>
  <c r="J311" i="2"/>
  <c r="I311" i="2"/>
  <c r="H311" i="2"/>
  <c r="J310" i="2"/>
  <c r="I310" i="2"/>
  <c r="H310" i="2"/>
  <c r="J309" i="2"/>
  <c r="I309" i="2"/>
  <c r="H309" i="2"/>
  <c r="J308" i="2"/>
  <c r="I308" i="2"/>
  <c r="H308" i="2"/>
  <c r="J307" i="2"/>
  <c r="I307" i="2"/>
  <c r="H307" i="2"/>
  <c r="J306" i="2"/>
  <c r="I306" i="2"/>
  <c r="H306" i="2"/>
  <c r="J305" i="2"/>
  <c r="I305" i="2"/>
  <c r="H305" i="2"/>
  <c r="J304" i="2"/>
  <c r="I304" i="2"/>
  <c r="H304" i="2"/>
  <c r="J303" i="2"/>
  <c r="I303" i="2"/>
  <c r="H303" i="2"/>
  <c r="J302" i="2"/>
  <c r="I302" i="2"/>
  <c r="H302" i="2"/>
  <c r="J301" i="2"/>
  <c r="I301" i="2"/>
  <c r="H301" i="2"/>
  <c r="J300" i="2"/>
  <c r="I300" i="2"/>
  <c r="H300" i="2"/>
  <c r="J299" i="2"/>
  <c r="I299" i="2"/>
  <c r="H299" i="2"/>
  <c r="J298" i="2"/>
  <c r="I298" i="2"/>
  <c r="H298" i="2"/>
  <c r="J297" i="2"/>
  <c r="I297" i="2"/>
  <c r="H297" i="2"/>
  <c r="J296" i="2"/>
  <c r="I296" i="2"/>
  <c r="H296" i="2"/>
  <c r="J295" i="2"/>
  <c r="I295" i="2"/>
  <c r="H295" i="2"/>
  <c r="J294" i="2"/>
  <c r="I294" i="2"/>
  <c r="H294" i="2"/>
  <c r="J293" i="2"/>
  <c r="I293" i="2"/>
  <c r="H293" i="2"/>
  <c r="J292" i="2"/>
  <c r="I292" i="2"/>
  <c r="H292" i="2"/>
  <c r="J291" i="2"/>
  <c r="I291" i="2"/>
  <c r="H291" i="2"/>
  <c r="J290" i="2"/>
  <c r="I290" i="2"/>
  <c r="H290" i="2"/>
  <c r="J289" i="2"/>
  <c r="I289" i="2"/>
  <c r="H289" i="2"/>
  <c r="J288" i="2"/>
  <c r="I288" i="2"/>
  <c r="H288" i="2"/>
  <c r="J287" i="2"/>
  <c r="I287" i="2"/>
  <c r="H287" i="2"/>
  <c r="J286" i="2"/>
  <c r="I286" i="2"/>
  <c r="H286" i="2"/>
  <c r="J285" i="2"/>
  <c r="I285" i="2"/>
  <c r="H285" i="2"/>
  <c r="J284" i="2"/>
  <c r="I284" i="2"/>
  <c r="H284" i="2"/>
  <c r="J283" i="2"/>
  <c r="I283" i="2"/>
  <c r="H283" i="2"/>
  <c r="J282" i="2"/>
  <c r="I282" i="2"/>
  <c r="H282" i="2"/>
  <c r="J281" i="2"/>
  <c r="I281" i="2"/>
  <c r="H281" i="2"/>
  <c r="J280" i="2"/>
  <c r="I280" i="2"/>
  <c r="H280" i="2"/>
  <c r="J279" i="2"/>
  <c r="I279" i="2"/>
  <c r="H279" i="2"/>
  <c r="J278" i="2"/>
  <c r="I278" i="2"/>
  <c r="H278" i="2"/>
  <c r="J277" i="2"/>
  <c r="I277" i="2"/>
  <c r="H277" i="2"/>
  <c r="J276" i="2"/>
  <c r="I276" i="2"/>
  <c r="H276" i="2"/>
  <c r="J275" i="2"/>
  <c r="I275" i="2"/>
  <c r="H275" i="2"/>
  <c r="J274" i="2"/>
  <c r="I274" i="2"/>
  <c r="H274" i="2"/>
  <c r="J273" i="2"/>
  <c r="I273" i="2"/>
  <c r="H273" i="2"/>
  <c r="J272" i="2"/>
  <c r="I272" i="2"/>
  <c r="H272" i="2"/>
  <c r="J271" i="2"/>
  <c r="I271" i="2"/>
  <c r="H271" i="2"/>
  <c r="J270" i="2"/>
  <c r="I270" i="2"/>
  <c r="H270" i="2"/>
  <c r="J269" i="2"/>
  <c r="I269" i="2"/>
  <c r="H269" i="2"/>
  <c r="J268" i="2"/>
  <c r="I268" i="2"/>
  <c r="H268" i="2"/>
  <c r="J267" i="2"/>
  <c r="I267" i="2"/>
  <c r="H267" i="2"/>
  <c r="J266" i="2"/>
  <c r="I266" i="2"/>
  <c r="H266" i="2"/>
  <c r="J265" i="2"/>
  <c r="I265" i="2"/>
  <c r="H265" i="2"/>
  <c r="J264" i="2"/>
  <c r="I264" i="2"/>
  <c r="H264" i="2"/>
  <c r="J263" i="2"/>
  <c r="I263" i="2"/>
  <c r="H263" i="2"/>
  <c r="J262" i="2"/>
  <c r="I262" i="2"/>
  <c r="H262" i="2"/>
  <c r="J261" i="2"/>
  <c r="I261" i="2"/>
  <c r="H261" i="2"/>
  <c r="J260" i="2"/>
  <c r="I260" i="2"/>
  <c r="H260" i="2"/>
  <c r="J259" i="2"/>
  <c r="I259" i="2"/>
  <c r="H259" i="2"/>
  <c r="J258" i="2"/>
  <c r="I258" i="2"/>
  <c r="H258" i="2"/>
  <c r="J257" i="2"/>
  <c r="I257" i="2"/>
  <c r="H257" i="2"/>
  <c r="J256" i="2"/>
  <c r="I256" i="2"/>
  <c r="H256" i="2"/>
  <c r="J255" i="2"/>
  <c r="I255" i="2"/>
  <c r="H255" i="2"/>
  <c r="J254" i="2"/>
  <c r="I254" i="2"/>
  <c r="H254" i="2"/>
  <c r="J253" i="2"/>
  <c r="I253" i="2"/>
  <c r="H253" i="2"/>
  <c r="J252" i="2"/>
  <c r="I252" i="2"/>
  <c r="H252" i="2"/>
  <c r="J251" i="2"/>
  <c r="I251" i="2"/>
  <c r="H251" i="2"/>
  <c r="J250" i="2"/>
  <c r="I250" i="2"/>
  <c r="H250" i="2"/>
  <c r="J249" i="2"/>
  <c r="I249" i="2"/>
  <c r="H249" i="2"/>
  <c r="J248" i="2"/>
  <c r="I248" i="2"/>
  <c r="H248" i="2"/>
  <c r="J247" i="2"/>
  <c r="I247" i="2"/>
  <c r="H247" i="2"/>
  <c r="J246" i="2"/>
  <c r="I246" i="2"/>
  <c r="H246" i="2"/>
  <c r="J245" i="2"/>
  <c r="I245" i="2"/>
  <c r="H245" i="2"/>
  <c r="J244" i="2"/>
  <c r="I244" i="2"/>
  <c r="H244" i="2"/>
  <c r="J243" i="2"/>
  <c r="I243" i="2"/>
  <c r="H243" i="2"/>
  <c r="J242" i="2"/>
  <c r="I242" i="2"/>
  <c r="H242" i="2"/>
  <c r="J241" i="2"/>
  <c r="I241" i="2"/>
  <c r="H241" i="2"/>
  <c r="J240" i="2"/>
  <c r="I240" i="2"/>
  <c r="H240" i="2"/>
  <c r="J239" i="2"/>
  <c r="I239" i="2"/>
  <c r="H239" i="2"/>
  <c r="J238" i="2"/>
  <c r="I238" i="2"/>
  <c r="H238" i="2"/>
  <c r="J237" i="2"/>
  <c r="I237" i="2"/>
  <c r="H237" i="2"/>
  <c r="J236" i="2"/>
  <c r="I236" i="2"/>
  <c r="H236" i="2"/>
  <c r="J235" i="2"/>
  <c r="I235" i="2"/>
  <c r="H235" i="2"/>
  <c r="J234" i="2"/>
  <c r="I234" i="2"/>
  <c r="H234" i="2"/>
  <c r="J233" i="2"/>
  <c r="I233" i="2"/>
  <c r="H233" i="2"/>
  <c r="J232" i="2"/>
  <c r="I232" i="2"/>
  <c r="H232" i="2"/>
  <c r="J231" i="2"/>
  <c r="I231" i="2"/>
  <c r="H231" i="2"/>
  <c r="J230" i="2"/>
  <c r="I230" i="2"/>
  <c r="H230" i="2"/>
  <c r="J229" i="2"/>
  <c r="I229" i="2"/>
  <c r="H229" i="2"/>
  <c r="J228" i="2"/>
  <c r="I228" i="2"/>
  <c r="H228" i="2"/>
  <c r="J227" i="2"/>
  <c r="I227" i="2"/>
  <c r="H227" i="2"/>
  <c r="J226" i="2"/>
  <c r="I226" i="2"/>
  <c r="H226" i="2"/>
  <c r="J225" i="2"/>
  <c r="I225" i="2"/>
  <c r="H225" i="2"/>
  <c r="J224" i="2"/>
  <c r="I224" i="2"/>
  <c r="H224" i="2"/>
  <c r="J223" i="2"/>
  <c r="I223" i="2"/>
  <c r="H223" i="2"/>
  <c r="J222" i="2"/>
  <c r="I222" i="2"/>
  <c r="H222" i="2"/>
  <c r="J221" i="2"/>
  <c r="I221" i="2"/>
  <c r="H221" i="2"/>
  <c r="J220" i="2"/>
  <c r="I220" i="2"/>
  <c r="H220" i="2"/>
  <c r="J219" i="2"/>
  <c r="I219" i="2"/>
  <c r="H219" i="2"/>
  <c r="J218" i="2"/>
  <c r="I218" i="2"/>
  <c r="H218" i="2"/>
  <c r="J217" i="2"/>
  <c r="I217" i="2"/>
  <c r="H217" i="2"/>
  <c r="J216" i="2"/>
  <c r="I216" i="2"/>
  <c r="H216" i="2"/>
  <c r="J215" i="2"/>
  <c r="I215" i="2"/>
  <c r="H215" i="2"/>
  <c r="J214" i="2"/>
  <c r="I214" i="2"/>
  <c r="H214" i="2"/>
  <c r="J213" i="2"/>
  <c r="I213" i="2"/>
  <c r="H213" i="2"/>
  <c r="J212" i="2"/>
  <c r="I212" i="2"/>
  <c r="H212" i="2"/>
  <c r="J211" i="2"/>
  <c r="I211" i="2"/>
  <c r="H211" i="2"/>
  <c r="J210" i="2"/>
  <c r="I210" i="2"/>
  <c r="H210" i="2"/>
  <c r="J209" i="2"/>
  <c r="I209" i="2"/>
  <c r="H209" i="2"/>
  <c r="J208" i="2"/>
  <c r="I208" i="2"/>
  <c r="H208" i="2"/>
  <c r="J207" i="2"/>
  <c r="I207" i="2"/>
  <c r="H207" i="2"/>
  <c r="J206" i="2"/>
  <c r="I206" i="2"/>
  <c r="H206" i="2"/>
  <c r="J205" i="2"/>
  <c r="I205" i="2"/>
  <c r="H205" i="2"/>
  <c r="J204" i="2"/>
  <c r="I204" i="2"/>
  <c r="H204" i="2"/>
  <c r="J203" i="2"/>
  <c r="I203" i="2"/>
  <c r="H203" i="2"/>
  <c r="J202" i="2"/>
  <c r="I202" i="2"/>
  <c r="H202" i="2"/>
  <c r="J201" i="2"/>
  <c r="I201" i="2"/>
  <c r="H201" i="2"/>
  <c r="J200" i="2"/>
  <c r="I200" i="2"/>
  <c r="H200" i="2"/>
  <c r="J199" i="2"/>
  <c r="I199" i="2"/>
  <c r="H199" i="2"/>
  <c r="J198" i="2"/>
  <c r="I198" i="2"/>
  <c r="H198" i="2"/>
  <c r="J197" i="2"/>
  <c r="I197" i="2"/>
  <c r="H197" i="2"/>
  <c r="J196" i="2"/>
  <c r="I196" i="2"/>
  <c r="H196" i="2"/>
  <c r="J195" i="2"/>
  <c r="I195" i="2"/>
  <c r="H195" i="2"/>
  <c r="J194" i="2"/>
  <c r="I194" i="2"/>
  <c r="H194" i="2"/>
  <c r="J193" i="2"/>
  <c r="I193" i="2"/>
  <c r="H193" i="2"/>
  <c r="J192" i="2"/>
  <c r="I192" i="2"/>
  <c r="H192" i="2"/>
  <c r="J191" i="2"/>
  <c r="I191" i="2"/>
  <c r="H191" i="2"/>
  <c r="J190" i="2"/>
  <c r="I190" i="2"/>
  <c r="H190" i="2"/>
  <c r="J189" i="2"/>
  <c r="I189" i="2"/>
  <c r="H189" i="2"/>
  <c r="J188" i="2"/>
  <c r="I188" i="2"/>
  <c r="H188" i="2"/>
  <c r="J187" i="2"/>
  <c r="I187" i="2"/>
  <c r="H187" i="2"/>
  <c r="J186" i="2"/>
  <c r="I186" i="2"/>
  <c r="H186" i="2"/>
  <c r="J185" i="2"/>
  <c r="I185" i="2"/>
  <c r="H185" i="2"/>
  <c r="J184" i="2"/>
  <c r="I184" i="2"/>
  <c r="H184" i="2"/>
  <c r="J183" i="2"/>
  <c r="I183" i="2"/>
  <c r="H183" i="2"/>
  <c r="J182" i="2"/>
  <c r="I182" i="2"/>
  <c r="H182" i="2"/>
  <c r="J181" i="2"/>
  <c r="I181" i="2"/>
  <c r="H181" i="2"/>
  <c r="J180" i="2"/>
  <c r="I180" i="2"/>
  <c r="H180" i="2"/>
  <c r="J179" i="2"/>
  <c r="I179" i="2"/>
  <c r="H179" i="2"/>
  <c r="J178" i="2"/>
  <c r="I178" i="2"/>
  <c r="H178" i="2"/>
  <c r="J177" i="2"/>
  <c r="I177" i="2"/>
  <c r="H177" i="2"/>
  <c r="J176" i="2"/>
  <c r="I176" i="2"/>
  <c r="H176" i="2"/>
  <c r="J175" i="2"/>
  <c r="I175" i="2"/>
  <c r="H175" i="2"/>
  <c r="J174" i="2"/>
  <c r="I174" i="2"/>
  <c r="H174" i="2"/>
  <c r="J173" i="2"/>
  <c r="I173" i="2"/>
  <c r="H173" i="2"/>
  <c r="J172" i="2"/>
  <c r="I172" i="2"/>
  <c r="H172" i="2"/>
  <c r="J171" i="2"/>
  <c r="I171" i="2"/>
  <c r="H171" i="2"/>
  <c r="J170" i="2"/>
  <c r="I170" i="2"/>
  <c r="H170" i="2"/>
  <c r="J169" i="2"/>
  <c r="I169" i="2"/>
  <c r="H169" i="2"/>
  <c r="J168" i="2"/>
  <c r="I168" i="2"/>
  <c r="H168" i="2"/>
  <c r="J167" i="2"/>
  <c r="I167" i="2"/>
  <c r="H167" i="2"/>
  <c r="J166" i="2"/>
  <c r="I166" i="2"/>
  <c r="H166" i="2"/>
  <c r="J165" i="2"/>
  <c r="I165" i="2"/>
  <c r="H165" i="2"/>
  <c r="J164" i="2"/>
  <c r="I164" i="2"/>
  <c r="H164" i="2"/>
  <c r="J163" i="2"/>
  <c r="I163" i="2"/>
  <c r="H163" i="2"/>
  <c r="J162" i="2"/>
  <c r="I162" i="2"/>
  <c r="H162" i="2"/>
  <c r="J161" i="2"/>
  <c r="I161" i="2"/>
  <c r="H161" i="2"/>
  <c r="J160" i="2"/>
  <c r="I160" i="2"/>
  <c r="H160" i="2"/>
  <c r="J159" i="2"/>
  <c r="I159" i="2"/>
  <c r="H159" i="2"/>
  <c r="J158" i="2"/>
  <c r="I158" i="2"/>
  <c r="H158" i="2"/>
  <c r="J157" i="2"/>
  <c r="I157" i="2"/>
  <c r="H157" i="2"/>
  <c r="J156" i="2"/>
  <c r="I156" i="2"/>
  <c r="H156" i="2"/>
  <c r="J155" i="2"/>
  <c r="I155" i="2"/>
  <c r="H155" i="2"/>
  <c r="J154" i="2"/>
  <c r="I154" i="2"/>
  <c r="H154" i="2"/>
  <c r="J153" i="2"/>
  <c r="I153" i="2"/>
  <c r="H153" i="2"/>
  <c r="J152" i="2"/>
  <c r="I152" i="2"/>
  <c r="H152" i="2"/>
  <c r="J151" i="2"/>
  <c r="I151" i="2"/>
  <c r="H151" i="2"/>
  <c r="J150" i="2"/>
  <c r="I150" i="2"/>
  <c r="H150" i="2"/>
  <c r="J149" i="2"/>
  <c r="I149" i="2"/>
  <c r="H149" i="2"/>
  <c r="J148" i="2"/>
  <c r="I148" i="2"/>
  <c r="H148" i="2"/>
  <c r="J147" i="2"/>
  <c r="I147" i="2"/>
  <c r="H147" i="2"/>
  <c r="J146" i="2"/>
  <c r="I146" i="2"/>
  <c r="H146" i="2"/>
  <c r="J145" i="2"/>
  <c r="I145" i="2"/>
  <c r="H145" i="2"/>
  <c r="J144" i="2"/>
  <c r="I144" i="2"/>
  <c r="H144" i="2"/>
  <c r="J143" i="2"/>
  <c r="I143" i="2"/>
  <c r="H143" i="2"/>
  <c r="J142" i="2"/>
  <c r="I142" i="2"/>
  <c r="H142" i="2"/>
  <c r="J141" i="2"/>
  <c r="I141" i="2"/>
  <c r="H141" i="2"/>
  <c r="J140" i="2"/>
  <c r="I140" i="2"/>
  <c r="H140" i="2"/>
  <c r="J139" i="2"/>
  <c r="I139" i="2"/>
  <c r="H139" i="2"/>
  <c r="J138" i="2"/>
  <c r="I138" i="2"/>
  <c r="H138" i="2"/>
  <c r="J137" i="2"/>
  <c r="I137" i="2"/>
  <c r="H137" i="2"/>
  <c r="J136" i="2"/>
  <c r="I136" i="2"/>
  <c r="H136" i="2"/>
  <c r="J135" i="2"/>
  <c r="I135" i="2"/>
  <c r="H135" i="2"/>
  <c r="J134" i="2"/>
  <c r="I134" i="2"/>
  <c r="H134" i="2"/>
  <c r="J133" i="2"/>
  <c r="I133" i="2"/>
  <c r="H133" i="2"/>
  <c r="J132" i="2"/>
  <c r="I132" i="2"/>
  <c r="H132" i="2"/>
  <c r="J131" i="2"/>
  <c r="I131" i="2"/>
  <c r="H131" i="2"/>
  <c r="J130" i="2"/>
  <c r="I130" i="2"/>
  <c r="H130" i="2"/>
  <c r="J129" i="2"/>
  <c r="I129" i="2"/>
  <c r="H129" i="2"/>
  <c r="J128" i="2"/>
  <c r="I128" i="2"/>
  <c r="H128" i="2"/>
  <c r="J127" i="2"/>
  <c r="I127" i="2"/>
  <c r="H127" i="2"/>
  <c r="J126" i="2"/>
  <c r="I126" i="2"/>
  <c r="H126" i="2"/>
  <c r="J125" i="2"/>
  <c r="I125" i="2"/>
  <c r="H125" i="2"/>
  <c r="J124" i="2"/>
  <c r="I124" i="2"/>
  <c r="H124" i="2"/>
  <c r="J123" i="2"/>
  <c r="I123" i="2"/>
  <c r="H123" i="2"/>
  <c r="J122" i="2"/>
  <c r="I122" i="2"/>
  <c r="H122" i="2"/>
  <c r="J121" i="2"/>
  <c r="I121" i="2"/>
  <c r="H121" i="2"/>
  <c r="J120" i="2"/>
  <c r="I120" i="2"/>
  <c r="H120" i="2"/>
  <c r="J119" i="2"/>
  <c r="I119" i="2"/>
  <c r="H119" i="2"/>
  <c r="J118" i="2"/>
  <c r="I118" i="2"/>
  <c r="H118" i="2"/>
  <c r="J117" i="2"/>
  <c r="I117" i="2"/>
  <c r="H117" i="2"/>
  <c r="J116" i="2"/>
  <c r="I116" i="2"/>
  <c r="H116" i="2"/>
  <c r="J115" i="2"/>
  <c r="I115" i="2"/>
  <c r="H115" i="2"/>
  <c r="J114" i="2"/>
  <c r="I114" i="2"/>
  <c r="H114" i="2"/>
  <c r="J113" i="2"/>
  <c r="I113" i="2"/>
  <c r="H113" i="2"/>
  <c r="J112" i="2"/>
  <c r="I112" i="2"/>
  <c r="H112" i="2"/>
  <c r="J111" i="2"/>
  <c r="I111" i="2"/>
  <c r="H111" i="2"/>
  <c r="J110" i="2"/>
  <c r="I110" i="2"/>
  <c r="H110" i="2"/>
  <c r="J109" i="2"/>
  <c r="I109" i="2"/>
  <c r="H109" i="2"/>
  <c r="J108" i="2"/>
  <c r="I108" i="2"/>
  <c r="H108" i="2"/>
  <c r="J107" i="2"/>
  <c r="I107" i="2"/>
  <c r="H107" i="2"/>
  <c r="J106" i="2"/>
  <c r="I106" i="2"/>
  <c r="H106" i="2"/>
  <c r="J105" i="2"/>
  <c r="I105" i="2"/>
  <c r="H105" i="2"/>
  <c r="J104" i="2"/>
  <c r="I104" i="2"/>
  <c r="H104" i="2"/>
  <c r="J103" i="2"/>
  <c r="I103" i="2"/>
  <c r="H103" i="2"/>
  <c r="J102" i="2"/>
  <c r="I102" i="2"/>
  <c r="H102" i="2"/>
  <c r="J101" i="2"/>
  <c r="I101" i="2"/>
  <c r="H101" i="2"/>
  <c r="J100" i="2"/>
  <c r="I100" i="2"/>
  <c r="H100" i="2"/>
  <c r="J99" i="2"/>
  <c r="I99" i="2"/>
  <c r="H99" i="2"/>
  <c r="J98" i="2"/>
  <c r="I98" i="2"/>
  <c r="H98" i="2"/>
  <c r="J97" i="2"/>
  <c r="I97" i="2"/>
  <c r="H97" i="2"/>
  <c r="J96" i="2"/>
  <c r="I96" i="2"/>
  <c r="H96" i="2"/>
  <c r="J95" i="2"/>
  <c r="I95" i="2"/>
  <c r="H95" i="2"/>
  <c r="J94" i="2"/>
  <c r="I94" i="2"/>
  <c r="H94" i="2"/>
  <c r="J93" i="2"/>
  <c r="I93" i="2"/>
  <c r="H93" i="2"/>
  <c r="J92" i="2"/>
  <c r="I92" i="2"/>
  <c r="H92" i="2"/>
  <c r="J91" i="2"/>
  <c r="I91" i="2"/>
  <c r="H91" i="2"/>
  <c r="J90" i="2"/>
  <c r="I90" i="2"/>
  <c r="H90" i="2"/>
  <c r="J89" i="2"/>
  <c r="I89" i="2"/>
  <c r="H89" i="2"/>
  <c r="J88" i="2"/>
  <c r="I88" i="2"/>
  <c r="H88" i="2"/>
  <c r="J87" i="2"/>
  <c r="I87" i="2"/>
  <c r="H87" i="2"/>
  <c r="J86" i="2"/>
  <c r="I86" i="2"/>
  <c r="H86" i="2"/>
  <c r="J85" i="2"/>
  <c r="I85" i="2"/>
  <c r="H85" i="2"/>
  <c r="J84" i="2"/>
  <c r="I84" i="2"/>
  <c r="H84" i="2"/>
  <c r="J83" i="2"/>
  <c r="I83" i="2"/>
  <c r="H83" i="2"/>
  <c r="J82" i="2"/>
  <c r="I82" i="2"/>
  <c r="H82" i="2"/>
  <c r="J81" i="2"/>
  <c r="I81" i="2"/>
  <c r="H81" i="2"/>
  <c r="J80" i="2"/>
  <c r="I80" i="2"/>
  <c r="H80" i="2"/>
  <c r="J79" i="2"/>
  <c r="I79" i="2"/>
  <c r="H79" i="2"/>
  <c r="J78" i="2"/>
  <c r="I78" i="2"/>
  <c r="H78" i="2"/>
  <c r="J77" i="2"/>
  <c r="I77" i="2"/>
  <c r="H77" i="2"/>
  <c r="J76" i="2"/>
  <c r="I76" i="2"/>
  <c r="H76" i="2"/>
  <c r="J75" i="2"/>
  <c r="I75" i="2"/>
  <c r="H75" i="2"/>
  <c r="J74" i="2"/>
  <c r="I74" i="2"/>
  <c r="H74" i="2"/>
  <c r="J73" i="2"/>
  <c r="I73" i="2"/>
  <c r="H73" i="2"/>
  <c r="J72" i="2"/>
  <c r="I72" i="2"/>
  <c r="H72" i="2"/>
  <c r="J71" i="2"/>
  <c r="I71" i="2"/>
  <c r="H71" i="2"/>
  <c r="J70" i="2"/>
  <c r="I70" i="2"/>
  <c r="H70" i="2"/>
  <c r="J69" i="2"/>
  <c r="I69" i="2"/>
  <c r="H69" i="2"/>
  <c r="J68" i="2"/>
  <c r="I68" i="2"/>
  <c r="H68" i="2"/>
  <c r="J67" i="2"/>
  <c r="I67" i="2"/>
  <c r="H67" i="2"/>
  <c r="J66" i="2"/>
  <c r="I66" i="2"/>
  <c r="H66" i="2"/>
  <c r="J65" i="2"/>
  <c r="I65" i="2"/>
  <c r="H65" i="2"/>
  <c r="J64" i="2"/>
  <c r="I64" i="2"/>
  <c r="H64" i="2"/>
  <c r="J63" i="2"/>
  <c r="I63" i="2"/>
  <c r="H63" i="2"/>
  <c r="J62" i="2"/>
  <c r="I62" i="2"/>
  <c r="H62" i="2"/>
  <c r="J61" i="2"/>
  <c r="I61" i="2"/>
  <c r="H61" i="2"/>
  <c r="J60" i="2"/>
  <c r="I60" i="2"/>
  <c r="H60" i="2"/>
  <c r="J59" i="2"/>
  <c r="I59" i="2"/>
  <c r="H59" i="2"/>
  <c r="J58" i="2"/>
  <c r="I58" i="2"/>
  <c r="H58" i="2"/>
  <c r="J57" i="2"/>
  <c r="I57" i="2"/>
  <c r="H57" i="2"/>
  <c r="J56" i="2"/>
  <c r="I56" i="2"/>
  <c r="H56" i="2"/>
  <c r="J55" i="2"/>
  <c r="I55" i="2"/>
  <c r="H55" i="2"/>
  <c r="J54" i="2"/>
  <c r="I54" i="2"/>
  <c r="H54" i="2"/>
  <c r="J53" i="2"/>
  <c r="I53" i="2"/>
  <c r="H53" i="2"/>
  <c r="J52" i="2"/>
  <c r="I52" i="2"/>
  <c r="H52" i="2"/>
  <c r="J51" i="2"/>
  <c r="I51" i="2"/>
  <c r="H51" i="2"/>
  <c r="J50" i="2"/>
  <c r="I50" i="2"/>
  <c r="H50" i="2"/>
  <c r="J49" i="2"/>
  <c r="I49" i="2"/>
  <c r="H49" i="2"/>
  <c r="J48" i="2"/>
  <c r="I48" i="2"/>
  <c r="H48" i="2"/>
  <c r="J47" i="2"/>
  <c r="I47" i="2"/>
  <c r="H47" i="2"/>
  <c r="J46" i="2"/>
  <c r="I46" i="2"/>
  <c r="H46" i="2"/>
  <c r="J45" i="2"/>
  <c r="I45" i="2"/>
  <c r="H45" i="2"/>
  <c r="J44" i="2"/>
  <c r="I44" i="2"/>
  <c r="H44" i="2"/>
  <c r="J43" i="2"/>
  <c r="I43" i="2"/>
  <c r="H43" i="2"/>
  <c r="J42" i="2"/>
  <c r="I42" i="2"/>
  <c r="H42" i="2"/>
  <c r="J41" i="2"/>
  <c r="I41" i="2"/>
  <c r="H41" i="2"/>
  <c r="J40" i="2"/>
  <c r="I40" i="2"/>
  <c r="H40" i="2"/>
  <c r="J39" i="2"/>
  <c r="I39" i="2"/>
  <c r="H39" i="2"/>
  <c r="J38" i="2"/>
  <c r="I38" i="2"/>
  <c r="H38" i="2"/>
  <c r="J37" i="2"/>
  <c r="I37" i="2"/>
  <c r="H37" i="2"/>
  <c r="J36" i="2"/>
  <c r="I36" i="2"/>
  <c r="H36" i="2"/>
  <c r="J35" i="2"/>
  <c r="I35" i="2"/>
  <c r="H35" i="2"/>
  <c r="J34" i="2"/>
  <c r="I34" i="2"/>
  <c r="H34" i="2"/>
  <c r="J33" i="2"/>
  <c r="I33" i="2"/>
  <c r="H33" i="2"/>
  <c r="J32" i="2"/>
  <c r="I32" i="2"/>
  <c r="H32" i="2"/>
  <c r="J31" i="2"/>
  <c r="I31" i="2"/>
  <c r="H31" i="2"/>
  <c r="J30" i="2"/>
  <c r="I30" i="2"/>
  <c r="H30" i="2"/>
  <c r="J29" i="2"/>
  <c r="I29" i="2"/>
  <c r="H29" i="2"/>
  <c r="J28" i="2"/>
  <c r="I28" i="2"/>
  <c r="H28" i="2"/>
  <c r="J27" i="2"/>
  <c r="I27" i="2"/>
  <c r="H27" i="2"/>
  <c r="J26" i="2"/>
  <c r="I26" i="2"/>
  <c r="H26" i="2"/>
  <c r="J25" i="2"/>
  <c r="I25" i="2"/>
  <c r="H25" i="2"/>
  <c r="J24" i="2"/>
  <c r="I24" i="2"/>
  <c r="H24" i="2"/>
  <c r="J23" i="2"/>
  <c r="I23" i="2"/>
  <c r="H23" i="2"/>
  <c r="J22" i="2"/>
  <c r="I22" i="2"/>
  <c r="H22" i="2"/>
  <c r="J21" i="2"/>
  <c r="I21" i="2"/>
  <c r="H21" i="2"/>
  <c r="J20" i="2"/>
  <c r="I20" i="2"/>
  <c r="H20" i="2"/>
  <c r="J19" i="2"/>
  <c r="I19" i="2"/>
  <c r="H19" i="2"/>
  <c r="J18" i="2"/>
  <c r="I18" i="2"/>
  <c r="H18" i="2"/>
  <c r="J17" i="2"/>
  <c r="I17" i="2"/>
  <c r="H17" i="2"/>
  <c r="J16" i="2"/>
  <c r="I16" i="2"/>
  <c r="H16" i="2"/>
  <c r="J15" i="2"/>
  <c r="I15" i="2"/>
  <c r="H15" i="2"/>
  <c r="J14" i="2"/>
  <c r="I14" i="2"/>
  <c r="H14" i="2"/>
  <c r="J13" i="2"/>
  <c r="I13" i="2"/>
  <c r="H13" i="2"/>
  <c r="J12" i="2"/>
  <c r="I12" i="2"/>
  <c r="H12" i="2"/>
  <c r="J11" i="2"/>
  <c r="I11" i="2"/>
  <c r="H11" i="2"/>
  <c r="J10" i="2"/>
  <c r="I10" i="2"/>
  <c r="H10" i="2"/>
  <c r="J9" i="2"/>
  <c r="I9" i="2"/>
  <c r="H9" i="2"/>
  <c r="J8" i="2"/>
  <c r="I8" i="2"/>
  <c r="H8" i="2"/>
  <c r="J7" i="2"/>
  <c r="I7" i="2"/>
  <c r="H7" i="2"/>
  <c r="J6" i="2"/>
  <c r="I6" i="2"/>
  <c r="H6" i="2"/>
  <c r="J5" i="2"/>
  <c r="I5" i="2"/>
  <c r="H5" i="2"/>
  <c r="J4" i="2"/>
  <c r="I4" i="2"/>
  <c r="H4" i="2"/>
  <c r="J3" i="2"/>
  <c r="I3" i="2"/>
  <c r="H3" i="2"/>
  <c r="J2" i="2"/>
  <c r="I2" i="2"/>
  <c r="H2" i="2"/>
</calcChain>
</file>

<file path=xl/sharedStrings.xml><?xml version="1.0" encoding="utf-8"?>
<sst xmlns="http://schemas.openxmlformats.org/spreadsheetml/2006/main" count="5522" uniqueCount="710">
  <si>
    <t>Attendance_ID</t>
  </si>
  <si>
    <t>Date</t>
  </si>
  <si>
    <t>Employee_ID</t>
  </si>
  <si>
    <t>Attendance_Status</t>
  </si>
  <si>
    <t>Login_Time</t>
  </si>
  <si>
    <t>Logout_Time</t>
  </si>
  <si>
    <t>Late_Login</t>
  </si>
  <si>
    <t>ATT00017</t>
  </si>
  <si>
    <t>EMP1001</t>
  </si>
  <si>
    <t>Present</t>
  </si>
  <si>
    <t>17:15</t>
  </si>
  <si>
    <t>No</t>
  </si>
  <si>
    <t>ATT00067</t>
  </si>
  <si>
    <t>08:55</t>
  </si>
  <si>
    <t>19:30</t>
  </si>
  <si>
    <t>ATT00117</t>
  </si>
  <si>
    <t>09:05</t>
  </si>
  <si>
    <t>17:40</t>
  </si>
  <si>
    <t>ATT00167</t>
  </si>
  <si>
    <t>10:00</t>
  </si>
  <si>
    <t>19:05</t>
  </si>
  <si>
    <t>Yes</t>
  </si>
  <si>
    <t>ATT00217</t>
  </si>
  <si>
    <t>08:30</t>
  </si>
  <si>
    <t>18:25</t>
  </si>
  <si>
    <t>ATT00267</t>
  </si>
  <si>
    <t>Absent</t>
  </si>
  <si>
    <t>ATT00317</t>
  </si>
  <si>
    <t>10:25</t>
  </si>
  <si>
    <t>17:05</t>
  </si>
  <si>
    <t>ATT00367</t>
  </si>
  <si>
    <t>09:20</t>
  </si>
  <si>
    <t>18:40</t>
  </si>
  <si>
    <t>ATT00417</t>
  </si>
  <si>
    <t>10:05</t>
  </si>
  <si>
    <t>19:15</t>
  </si>
  <si>
    <t>ATT00467</t>
  </si>
  <si>
    <t>19:20</t>
  </si>
  <si>
    <t>ATT00018</t>
  </si>
  <si>
    <t>EMP1002</t>
  </si>
  <si>
    <t>09:15</t>
  </si>
  <si>
    <t>ATT00068</t>
  </si>
  <si>
    <t>WFH</t>
  </si>
  <si>
    <t>10:20</t>
  </si>
  <si>
    <t>18:50</t>
  </si>
  <si>
    <t>ATT00118</t>
  </si>
  <si>
    <t>ATT00168</t>
  </si>
  <si>
    <t>09:40</t>
  </si>
  <si>
    <t>19:50</t>
  </si>
  <si>
    <t>ATT00218</t>
  </si>
  <si>
    <t>10:30</t>
  </si>
  <si>
    <t>18:30</t>
  </si>
  <si>
    <t>ATT00268</t>
  </si>
  <si>
    <t>08:45</t>
  </si>
  <si>
    <t>ATT00318</t>
  </si>
  <si>
    <t>18:05</t>
  </si>
  <si>
    <t>ATT00368</t>
  </si>
  <si>
    <t>09:10</t>
  </si>
  <si>
    <t>ATT00418</t>
  </si>
  <si>
    <t>09:50</t>
  </si>
  <si>
    <t>ATT00468</t>
  </si>
  <si>
    <t>09:45</t>
  </si>
  <si>
    <t>ATT00019</t>
  </si>
  <si>
    <t>02/13/2025</t>
  </si>
  <si>
    <t>EMP1003</t>
  </si>
  <si>
    <t>ATT00069</t>
  </si>
  <si>
    <t>17:10</t>
  </si>
  <si>
    <t>ATT00119</t>
  </si>
  <si>
    <t>17:20</t>
  </si>
  <si>
    <t>ATT00169</t>
  </si>
  <si>
    <t>Leave</t>
  </si>
  <si>
    <t>ATT00219</t>
  </si>
  <si>
    <t>19:00</t>
  </si>
  <si>
    <t>ATT00269</t>
  </si>
  <si>
    <t>ATT00319</t>
  </si>
  <si>
    <t>17:45</t>
  </si>
  <si>
    <t>ATT00369</t>
  </si>
  <si>
    <t>ATT00419</t>
  </si>
  <si>
    <t>17:50</t>
  </si>
  <si>
    <t>ATT00469</t>
  </si>
  <si>
    <t>09:35</t>
  </si>
  <si>
    <t>ATT00020</t>
  </si>
  <si>
    <t>2025.03.04</t>
  </si>
  <si>
    <t>EMP1004</t>
  </si>
  <si>
    <t>ATT00070</t>
  </si>
  <si>
    <t>ATT00120</t>
  </si>
  <si>
    <t>17:55</t>
  </si>
  <si>
    <t>ATT00170</t>
  </si>
  <si>
    <t>ATT00220</t>
  </si>
  <si>
    <t>10:10</t>
  </si>
  <si>
    <t>18:00</t>
  </si>
  <si>
    <t>ATT00270</t>
  </si>
  <si>
    <t>20:00</t>
  </si>
  <si>
    <t>ATT00320</t>
  </si>
  <si>
    <t>ATT00370</t>
  </si>
  <si>
    <t>ATT00420</t>
  </si>
  <si>
    <t>19:45</t>
  </si>
  <si>
    <t>ATT00470</t>
  </si>
  <si>
    <t>ATT00021</t>
  </si>
  <si>
    <t>EMP1005</t>
  </si>
  <si>
    <t>09:00</t>
  </si>
  <si>
    <t>17:35</t>
  </si>
  <si>
    <t>ATT00071</t>
  </si>
  <si>
    <t>19:10</t>
  </si>
  <si>
    <t>ATT00121</t>
  </si>
  <si>
    <t>09:25</t>
  </si>
  <si>
    <t>18:10</t>
  </si>
  <si>
    <t>ATT00171</t>
  </si>
  <si>
    <t>08:50</t>
  </si>
  <si>
    <t>ATT00221</t>
  </si>
  <si>
    <t>17:00</t>
  </si>
  <si>
    <t>ATT00271</t>
  </si>
  <si>
    <t>ATT00321</t>
  </si>
  <si>
    <t>19:55</t>
  </si>
  <si>
    <t>ATT00371</t>
  </si>
  <si>
    <t>09:30</t>
  </si>
  <si>
    <t>ATT00421</t>
  </si>
  <si>
    <t>ATT00471</t>
  </si>
  <si>
    <t>ATT00022</t>
  </si>
  <si>
    <t>EMP1006</t>
  </si>
  <si>
    <t>ATT00072</t>
  </si>
  <si>
    <t>ATT00122</t>
  </si>
  <si>
    <t>19:25</t>
  </si>
  <si>
    <t>ATT00172</t>
  </si>
  <si>
    <t>ATT00222</t>
  </si>
  <si>
    <t>ATT00272</t>
  </si>
  <si>
    <t>ATT00322</t>
  </si>
  <si>
    <t>18:35</t>
  </si>
  <si>
    <t>ATT00372</t>
  </si>
  <si>
    <t>ATT00422</t>
  </si>
  <si>
    <t>ATT00472</t>
  </si>
  <si>
    <t>ATT00023</t>
  </si>
  <si>
    <t>EMP1007</t>
  </si>
  <si>
    <t>ATT00073</t>
  </si>
  <si>
    <t>ATT00123</t>
  </si>
  <si>
    <t>ATT00173</t>
  </si>
  <si>
    <t>10:15</t>
  </si>
  <si>
    <t>ATT00223</t>
  </si>
  <si>
    <t>ATT00273</t>
  </si>
  <si>
    <t>ATT00323</t>
  </si>
  <si>
    <t>ATT00373</t>
  </si>
  <si>
    <t>ATT00423</t>
  </si>
  <si>
    <t>ATT00473</t>
  </si>
  <si>
    <t>ATT00024</t>
  </si>
  <si>
    <t>EMP1008</t>
  </si>
  <si>
    <t>ATT00074</t>
  </si>
  <si>
    <t>ATT00124</t>
  </si>
  <si>
    <t>ATT00174</t>
  </si>
  <si>
    <t>ATT00224</t>
  </si>
  <si>
    <t>09:55</t>
  </si>
  <si>
    <t>ATT00274</t>
  </si>
  <si>
    <t>ATT00324</t>
  </si>
  <si>
    <t>ATT00374</t>
  </si>
  <si>
    <t>ATT00424</t>
  </si>
  <si>
    <t>18:55</t>
  </si>
  <si>
    <t>ATT00474</t>
  </si>
  <si>
    <t>ATT00025</t>
  </si>
  <si>
    <t>EMP1009</t>
  </si>
  <si>
    <t>08:35</t>
  </si>
  <si>
    <t>ATT00075</t>
  </si>
  <si>
    <t>ATT00125</t>
  </si>
  <si>
    <t>ATT00175</t>
  </si>
  <si>
    <t>ATT00225</t>
  </si>
  <si>
    <t>ATT00275</t>
  </si>
  <si>
    <t>ATT00325</t>
  </si>
  <si>
    <t>19:35</t>
  </si>
  <si>
    <t>ATT00375</t>
  </si>
  <si>
    <t>ATT00425</t>
  </si>
  <si>
    <t>19:40</t>
  </si>
  <si>
    <t>ATT00475</t>
  </si>
  <si>
    <t>ATT00026</t>
  </si>
  <si>
    <t>EMP1010</t>
  </si>
  <si>
    <t>ATT00076</t>
  </si>
  <si>
    <t>ATT00126</t>
  </si>
  <si>
    <t>ATT00176</t>
  </si>
  <si>
    <t>ATT00226</t>
  </si>
  <si>
    <t>ATT00276</t>
  </si>
  <si>
    <t>ATT00326</t>
  </si>
  <si>
    <t>ATT00376</t>
  </si>
  <si>
    <t>ATT00426</t>
  </si>
  <si>
    <t>ATT00476</t>
  </si>
  <si>
    <t>ATT00027</t>
  </si>
  <si>
    <t>EMP1011</t>
  </si>
  <si>
    <t>ATT00077</t>
  </si>
  <si>
    <t>ATT00127</t>
  </si>
  <si>
    <t>ATT00177</t>
  </si>
  <si>
    <t>ATT00227</t>
  </si>
  <si>
    <t>ATT00277</t>
  </si>
  <si>
    <t>ATT00327</t>
  </si>
  <si>
    <t>ATT00377</t>
  </si>
  <si>
    <t>ATT00427</t>
  </si>
  <si>
    <t>18:20</t>
  </si>
  <si>
    <t>ATT00477</t>
  </si>
  <si>
    <t>ATT00028</t>
  </si>
  <si>
    <t>EMP1012</t>
  </si>
  <si>
    <t>17:30</t>
  </si>
  <si>
    <t>ATT00078</t>
  </si>
  <si>
    <t>ATT00128</t>
  </si>
  <si>
    <t>ATT00178</t>
  </si>
  <si>
    <t>ATT00228</t>
  </si>
  <si>
    <t>ATT00278</t>
  </si>
  <si>
    <t>ATT00328</t>
  </si>
  <si>
    <t>ATT00378</t>
  </si>
  <si>
    <t>ATT00428</t>
  </si>
  <si>
    <t>ATT00478</t>
  </si>
  <si>
    <t>ATT00029</t>
  </si>
  <si>
    <t>EMP1013</t>
  </si>
  <si>
    <t>ATT00079</t>
  </si>
  <si>
    <t>ATT00129</t>
  </si>
  <si>
    <t>ATT00179</t>
  </si>
  <si>
    <t>ATT00229</t>
  </si>
  <si>
    <t>18:45</t>
  </si>
  <si>
    <t>ATT00279</t>
  </si>
  <si>
    <t>ATT00329</t>
  </si>
  <si>
    <t>ATT00379</t>
  </si>
  <si>
    <t>ATT00429</t>
  </si>
  <si>
    <t>ATT00479</t>
  </si>
  <si>
    <t>ATT00030</t>
  </si>
  <si>
    <t>EMP1014</t>
  </si>
  <si>
    <t>ATT00080</t>
  </si>
  <si>
    <t>ATT00130</t>
  </si>
  <si>
    <t>ATT00180</t>
  </si>
  <si>
    <t>ATT00230</t>
  </si>
  <si>
    <t>ATT00280</t>
  </si>
  <si>
    <t>ATT00330</t>
  </si>
  <si>
    <t>ATT00380</t>
  </si>
  <si>
    <t>08:40</t>
  </si>
  <si>
    <t>ATT00430</t>
  </si>
  <si>
    <t>ATT00480</t>
  </si>
  <si>
    <t>ATT00031</t>
  </si>
  <si>
    <t>EMP1015</t>
  </si>
  <si>
    <t>ATT00081</t>
  </si>
  <si>
    <t>ATT00131</t>
  </si>
  <si>
    <t>ATT00181</t>
  </si>
  <si>
    <t>ATT00231</t>
  </si>
  <si>
    <t>ATT00281</t>
  </si>
  <si>
    <t>ATT00331</t>
  </si>
  <si>
    <t>ATT00381</t>
  </si>
  <si>
    <t>ATT00431</t>
  </si>
  <si>
    <t>ATT00481</t>
  </si>
  <si>
    <t>ATT00032</t>
  </si>
  <si>
    <t>EMP1016</t>
  </si>
  <si>
    <t>ATT00082</t>
  </si>
  <si>
    <t>ATT00132</t>
  </si>
  <si>
    <t>ATT00182</t>
  </si>
  <si>
    <t>ATT00232</t>
  </si>
  <si>
    <t>ATT00282</t>
  </si>
  <si>
    <t>ATT00332</t>
  </si>
  <si>
    <t>ATT00382</t>
  </si>
  <si>
    <t>ATT00432</t>
  </si>
  <si>
    <t>ATT00482</t>
  </si>
  <si>
    <t>ATT00033</t>
  </si>
  <si>
    <t>EMP1017</t>
  </si>
  <si>
    <t>ATT00083</t>
  </si>
  <si>
    <t>ATT00133</t>
  </si>
  <si>
    <t>ATT00183</t>
  </si>
  <si>
    <t>ATT00233</t>
  </si>
  <si>
    <t>ATT00283</t>
  </si>
  <si>
    <t>ATT00333</t>
  </si>
  <si>
    <t>ATT00383</t>
  </si>
  <si>
    <t>ATT00433</t>
  </si>
  <si>
    <t>17:25</t>
  </si>
  <si>
    <t>ATT00483</t>
  </si>
  <si>
    <t>ATT00034</t>
  </si>
  <si>
    <t>EMP1018</t>
  </si>
  <si>
    <t>ATT00084</t>
  </si>
  <si>
    <t>ATT00134</t>
  </si>
  <si>
    <t>ATT00184</t>
  </si>
  <si>
    <t>ATT00234</t>
  </si>
  <si>
    <t>ATT00284</t>
  </si>
  <si>
    <t>ATT00334</t>
  </si>
  <si>
    <t>ATT00384</t>
  </si>
  <si>
    <t>ATT00434</t>
  </si>
  <si>
    <t>ATT00484</t>
  </si>
  <si>
    <t>ATT00035</t>
  </si>
  <si>
    <t>EMP1019</t>
  </si>
  <si>
    <t>ATT00085</t>
  </si>
  <si>
    <t>ATT00135</t>
  </si>
  <si>
    <t>ATT00185</t>
  </si>
  <si>
    <t>ATT00235</t>
  </si>
  <si>
    <t>ATT00285</t>
  </si>
  <si>
    <t>ATT00335</t>
  </si>
  <si>
    <t>ATT00385</t>
  </si>
  <si>
    <t>ATT00435</t>
  </si>
  <si>
    <t>ATT00485</t>
  </si>
  <si>
    <t>ATT00036</t>
  </si>
  <si>
    <t>EMP1020</t>
  </si>
  <si>
    <t>ATT00086</t>
  </si>
  <si>
    <t>ATT00136</t>
  </si>
  <si>
    <t>ATT00186</t>
  </si>
  <si>
    <t>ATT00236</t>
  </si>
  <si>
    <t>ATT00286</t>
  </si>
  <si>
    <t>18:15</t>
  </si>
  <si>
    <t>ATT00336</t>
  </si>
  <si>
    <t>ATT00386</t>
  </si>
  <si>
    <t>ATT00436</t>
  </si>
  <si>
    <t>ATT00486</t>
  </si>
  <si>
    <t>ATT00037</t>
  </si>
  <si>
    <t>EMP1021</t>
  </si>
  <si>
    <t>ATT00087</t>
  </si>
  <si>
    <t>ATT00137</t>
  </si>
  <si>
    <t>ATT00187</t>
  </si>
  <si>
    <t>ATT00237</t>
  </si>
  <si>
    <t>ATT00287</t>
  </si>
  <si>
    <t>ATT00337</t>
  </si>
  <si>
    <t>ATT00387</t>
  </si>
  <si>
    <t>ATT00437</t>
  </si>
  <si>
    <t>ATT00487</t>
  </si>
  <si>
    <t>ATT00038</t>
  </si>
  <si>
    <t>EMP1022</t>
  </si>
  <si>
    <t>ATT00088</t>
  </si>
  <si>
    <t>ATT00138</t>
  </si>
  <si>
    <t>ATT00188</t>
  </si>
  <si>
    <t>ATT00238</t>
  </si>
  <si>
    <t>ATT00288</t>
  </si>
  <si>
    <t>ATT00338</t>
  </si>
  <si>
    <t>ATT00388</t>
  </si>
  <si>
    <t>ATT00438</t>
  </si>
  <si>
    <t>ATT00488</t>
  </si>
  <si>
    <t>ATT00039</t>
  </si>
  <si>
    <t>EMP1023</t>
  </si>
  <si>
    <t>ATT00089</t>
  </si>
  <si>
    <t>ATT00139</t>
  </si>
  <si>
    <t>ATT00189</t>
  </si>
  <si>
    <t>ATT00239</t>
  </si>
  <si>
    <t>ATT00289</t>
  </si>
  <si>
    <t>ATT00339</t>
  </si>
  <si>
    <t>ATT00389</t>
  </si>
  <si>
    <t>ATT00439</t>
  </si>
  <si>
    <t>ATT00489</t>
  </si>
  <si>
    <t>ATT00040</t>
  </si>
  <si>
    <t>EMP1024</t>
  </si>
  <si>
    <t>ATT00090</t>
  </si>
  <si>
    <t>ATT00140</t>
  </si>
  <si>
    <t>ATT00190</t>
  </si>
  <si>
    <t>ATT00240</t>
  </si>
  <si>
    <t>ATT00290</t>
  </si>
  <si>
    <t>ATT00340</t>
  </si>
  <si>
    <t>ATT00390</t>
  </si>
  <si>
    <t>ATT00440</t>
  </si>
  <si>
    <t>ATT00490</t>
  </si>
  <si>
    <t>ATT00041</t>
  </si>
  <si>
    <t>EMP1025</t>
  </si>
  <si>
    <t>ATT00091</t>
  </si>
  <si>
    <t>ATT00141</t>
  </si>
  <si>
    <t>ATT00191</t>
  </si>
  <si>
    <t>ATT00241</t>
  </si>
  <si>
    <t>ATT00291</t>
  </si>
  <si>
    <t>ATT00341</t>
  </si>
  <si>
    <t>ATT00391</t>
  </si>
  <si>
    <t>ATT00441</t>
  </si>
  <si>
    <t>ATT00491</t>
  </si>
  <si>
    <t>ATT00042</t>
  </si>
  <si>
    <t>EMP1026</t>
  </si>
  <si>
    <t>ATT00092</t>
  </si>
  <si>
    <t>ATT00142</t>
  </si>
  <si>
    <t>ATT00192</t>
  </si>
  <si>
    <t>ATT00242</t>
  </si>
  <si>
    <t>ATT00292</t>
  </si>
  <si>
    <t>ATT00342</t>
  </si>
  <si>
    <t>ATT00392</t>
  </si>
  <si>
    <t>ATT00442</t>
  </si>
  <si>
    <t>ATT00492</t>
  </si>
  <si>
    <t>ATT00043</t>
  </si>
  <si>
    <t>EMP1027</t>
  </si>
  <si>
    <t>ATT00093</t>
  </si>
  <si>
    <t>ATT00143</t>
  </si>
  <si>
    <t>ATT00193</t>
  </si>
  <si>
    <t>ATT00243</t>
  </si>
  <si>
    <t>ATT00293</t>
  </si>
  <si>
    <t>ATT00343</t>
  </si>
  <si>
    <t>ATT00393</t>
  </si>
  <si>
    <t>ATT00443</t>
  </si>
  <si>
    <t>ATT00493</t>
  </si>
  <si>
    <t>ATT00044</t>
  </si>
  <si>
    <t>EMP1028</t>
  </si>
  <si>
    <t>ATT00094</t>
  </si>
  <si>
    <t>ATT00144</t>
  </si>
  <si>
    <t>ATT00194</t>
  </si>
  <si>
    <t>ATT00244</t>
  </si>
  <si>
    <t>ATT00294</t>
  </si>
  <si>
    <t>ATT00344</t>
  </si>
  <si>
    <t>ATT00394</t>
  </si>
  <si>
    <t>ATT00444</t>
  </si>
  <si>
    <t>ATT00494</t>
  </si>
  <si>
    <t>ATT00045</t>
  </si>
  <si>
    <t>EMP1029</t>
  </si>
  <si>
    <t>ATT00095</t>
  </si>
  <si>
    <t>ATT00145</t>
  </si>
  <si>
    <t>ATT00195</t>
  </si>
  <si>
    <t>ATT00245</t>
  </si>
  <si>
    <t>ATT00295</t>
  </si>
  <si>
    <t>ATT00345</t>
  </si>
  <si>
    <t>ATT00395</t>
  </si>
  <si>
    <t>ATT00445</t>
  </si>
  <si>
    <t>ATT00495</t>
  </si>
  <si>
    <t>ATT00046</t>
  </si>
  <si>
    <t>EMP1030</t>
  </si>
  <si>
    <t>ATT00096</t>
  </si>
  <si>
    <t>ATT00146</t>
  </si>
  <si>
    <t>ATT00196</t>
  </si>
  <si>
    <t>ATT00246</t>
  </si>
  <si>
    <t>ATT00296</t>
  </si>
  <si>
    <t>ATT00346</t>
  </si>
  <si>
    <t>ATT00396</t>
  </si>
  <si>
    <t>ATT00446</t>
  </si>
  <si>
    <t>ATT00496</t>
  </si>
  <si>
    <t>ATT00047</t>
  </si>
  <si>
    <t>EMP1031</t>
  </si>
  <si>
    <t>ATT00097</t>
  </si>
  <si>
    <t>ATT00147</t>
  </si>
  <si>
    <t>ATT00197</t>
  </si>
  <si>
    <t>ATT00247</t>
  </si>
  <si>
    <t>ATT00297</t>
  </si>
  <si>
    <t>ATT00347</t>
  </si>
  <si>
    <t>ATT00397</t>
  </si>
  <si>
    <t>ATT00447</t>
  </si>
  <si>
    <t>ATT00497</t>
  </si>
  <si>
    <t>ATT00048</t>
  </si>
  <si>
    <t>EMP1032</t>
  </si>
  <si>
    <t>ATT00098</t>
  </si>
  <si>
    <t>ATT00148</t>
  </si>
  <si>
    <t>ATT00198</t>
  </si>
  <si>
    <t>ATT00248</t>
  </si>
  <si>
    <t>ATT00298</t>
  </si>
  <si>
    <t>ATT00348</t>
  </si>
  <si>
    <t>ATT00398</t>
  </si>
  <si>
    <t>ATT00448</t>
  </si>
  <si>
    <t>ATT00498</t>
  </si>
  <si>
    <t>ATT00049</t>
  </si>
  <si>
    <t>EMP1033</t>
  </si>
  <si>
    <t>ATT00099</t>
  </si>
  <si>
    <t>ATT00149</t>
  </si>
  <si>
    <t>ATT00199</t>
  </si>
  <si>
    <t>ATT00249</t>
  </si>
  <si>
    <t>ATT00299</t>
  </si>
  <si>
    <t>ATT00349</t>
  </si>
  <si>
    <t>ATT00399</t>
  </si>
  <si>
    <t>ATT00449</t>
  </si>
  <si>
    <t>ATT00499</t>
  </si>
  <si>
    <t>ATT00050</t>
  </si>
  <si>
    <t>EMP1034</t>
  </si>
  <si>
    <t>ATT00100</t>
  </si>
  <si>
    <t>ATT00150</t>
  </si>
  <si>
    <t>ATT00200</t>
  </si>
  <si>
    <t>ATT00250</t>
  </si>
  <si>
    <t>ATT00300</t>
  </si>
  <si>
    <t>ATT00350</t>
  </si>
  <si>
    <t>ATT00400</t>
  </si>
  <si>
    <t>ATT00450</t>
  </si>
  <si>
    <t>ATT00500</t>
  </si>
  <si>
    <t>ATT00007</t>
  </si>
  <si>
    <t>EMP1501</t>
  </si>
  <si>
    <t>Y</t>
  </si>
  <si>
    <t>ATT00057</t>
  </si>
  <si>
    <t>ATT00107</t>
  </si>
  <si>
    <t>ATT00157</t>
  </si>
  <si>
    <t>ATT00207</t>
  </si>
  <si>
    <t>ATT00257</t>
  </si>
  <si>
    <t>ATT00307</t>
  </si>
  <si>
    <t>ATT00357</t>
  </si>
  <si>
    <t>ATT00407</t>
  </si>
  <si>
    <t>ATT00457</t>
  </si>
  <si>
    <t>ATT00008</t>
  </si>
  <si>
    <t>EMP1502</t>
  </si>
  <si>
    <t>ATT00058</t>
  </si>
  <si>
    <t>ATT00108</t>
  </si>
  <si>
    <t>ATT00158</t>
  </si>
  <si>
    <t>ATT00208</t>
  </si>
  <si>
    <t>ATT00258</t>
  </si>
  <si>
    <t>ATT00308</t>
  </si>
  <si>
    <t>ATT00358</t>
  </si>
  <si>
    <t>ATT00408</t>
  </si>
  <si>
    <t>ATT00458</t>
  </si>
  <si>
    <t>ATT00009</t>
  </si>
  <si>
    <t>EMP1503</t>
  </si>
  <si>
    <t>ATT00059</t>
  </si>
  <si>
    <t>ATT00109</t>
  </si>
  <si>
    <t>ATT00159</t>
  </si>
  <si>
    <t>ATT00209</t>
  </si>
  <si>
    <t>ATT00259</t>
  </si>
  <si>
    <t>ATT00309</t>
  </si>
  <si>
    <t>ATT00359</t>
  </si>
  <si>
    <t>ATT00409</t>
  </si>
  <si>
    <t>ATT00459</t>
  </si>
  <si>
    <t>ATT00010</t>
  </si>
  <si>
    <t>2027/01/15</t>
  </si>
  <si>
    <t>EMP1504</t>
  </si>
  <si>
    <t>ATT00060</t>
  </si>
  <si>
    <t>ATT00110</t>
  </si>
  <si>
    <t>ATT00160</t>
  </si>
  <si>
    <t>ATT00210</t>
  </si>
  <si>
    <t>ATT00260</t>
  </si>
  <si>
    <t>ATT00310</t>
  </si>
  <si>
    <t>ATT00360</t>
  </si>
  <si>
    <t>ATT00410</t>
  </si>
  <si>
    <t>ATT00460</t>
  </si>
  <si>
    <t>ATT00011</t>
  </si>
  <si>
    <t>EMP1505</t>
  </si>
  <si>
    <t>ATT00061</t>
  </si>
  <si>
    <t>ATT00111</t>
  </si>
  <si>
    <t>ATT00161</t>
  </si>
  <si>
    <t>ATT00211</t>
  </si>
  <si>
    <t>ATT00261</t>
  </si>
  <si>
    <t>ATT00311</t>
  </si>
  <si>
    <t>ATT00361</t>
  </si>
  <si>
    <t>ATT00411</t>
  </si>
  <si>
    <t>ATT00461</t>
  </si>
  <si>
    <t>ATT00012</t>
  </si>
  <si>
    <t>17-Mar-2027</t>
  </si>
  <si>
    <t>EMP1506</t>
  </si>
  <si>
    <t>ATT00062</t>
  </si>
  <si>
    <t>ATT00112</t>
  </si>
  <si>
    <t>ATT00162</t>
  </si>
  <si>
    <t>ATT00212</t>
  </si>
  <si>
    <t>ATT00262</t>
  </si>
  <si>
    <t>ATT00312</t>
  </si>
  <si>
    <t>ATT00362</t>
  </si>
  <si>
    <t>ATT00412</t>
  </si>
  <si>
    <t>ATT00462</t>
  </si>
  <si>
    <t>ATT00063</t>
  </si>
  <si>
    <t>EMP1507</t>
  </si>
  <si>
    <t>ATT00113</t>
  </si>
  <si>
    <t>ATT00163</t>
  </si>
  <si>
    <t>ATT00213</t>
  </si>
  <si>
    <t>ATT00263</t>
  </si>
  <si>
    <t>ATT00313</t>
  </si>
  <si>
    <t>ATT00363</t>
  </si>
  <si>
    <t>ATT00413</t>
  </si>
  <si>
    <t>ATT00463</t>
  </si>
  <si>
    <t>ATT00064</t>
  </si>
  <si>
    <t>EMP1508</t>
  </si>
  <si>
    <t>ATT00114</t>
  </si>
  <si>
    <t>ATT00164</t>
  </si>
  <si>
    <t>ATT00214</t>
  </si>
  <si>
    <t>ATT00264</t>
  </si>
  <si>
    <t>ATT00314</t>
  </si>
  <si>
    <t>ATT00364</t>
  </si>
  <si>
    <t>ATT00414</t>
  </si>
  <si>
    <t>ATT00464</t>
  </si>
  <si>
    <t>ATT00014</t>
  </si>
  <si>
    <t>EMP1509</t>
  </si>
  <si>
    <t>ATT00065</t>
  </si>
  <si>
    <t>ATT00115</t>
  </si>
  <si>
    <t>ATT00165</t>
  </si>
  <si>
    <t>ATT00215</t>
  </si>
  <si>
    <t>ATT00265</t>
  </si>
  <si>
    <t>ATT00315</t>
  </si>
  <si>
    <t>ATT00365</t>
  </si>
  <si>
    <t>ATT00415</t>
  </si>
  <si>
    <t>ATT00465</t>
  </si>
  <si>
    <t>EMP1510</t>
  </si>
  <si>
    <t>ATT00066</t>
  </si>
  <si>
    <t>ATT00116</t>
  </si>
  <si>
    <t>ATT00166</t>
  </si>
  <si>
    <t>ATT00216</t>
  </si>
  <si>
    <t>ATT00266</t>
  </si>
  <si>
    <t>ATT00316</t>
  </si>
  <si>
    <t>ATT00366</t>
  </si>
  <si>
    <t>ATT00416</t>
  </si>
  <si>
    <t>ATT00466</t>
  </si>
  <si>
    <t>ATT00002</t>
  </si>
  <si>
    <t>EMP2001</t>
  </si>
  <si>
    <t>P</t>
  </si>
  <si>
    <t>ATT00052</t>
  </si>
  <si>
    <t>ATT00102</t>
  </si>
  <si>
    <t>ATT00152</t>
  </si>
  <si>
    <t>ATT00202</t>
  </si>
  <si>
    <t>ATT00252</t>
  </si>
  <si>
    <t>ATT00302</t>
  </si>
  <si>
    <t>ATT00352</t>
  </si>
  <si>
    <t>ATT00402</t>
  </si>
  <si>
    <t>ATT00452</t>
  </si>
  <si>
    <t>ATT00003</t>
  </si>
  <si>
    <t>EMP2002</t>
  </si>
  <si>
    <t>PR</t>
  </si>
  <si>
    <t>ATT00053</t>
  </si>
  <si>
    <t>ATT00103</t>
  </si>
  <si>
    <t>ATT00153</t>
  </si>
  <si>
    <t>ATT00203</t>
  </si>
  <si>
    <t>ATT00253</t>
  </si>
  <si>
    <t>ATT00303</t>
  </si>
  <si>
    <t>ATT00353</t>
  </si>
  <si>
    <t>ATT00403</t>
  </si>
  <si>
    <t>ATT00453</t>
  </si>
  <si>
    <t>ATT00004</t>
  </si>
  <si>
    <t>EMP2003</t>
  </si>
  <si>
    <t>Work From Home</t>
  </si>
  <si>
    <t>ATT00054</t>
  </si>
  <si>
    <t>ATT00104</t>
  </si>
  <si>
    <t>ATT00154</t>
  </si>
  <si>
    <t>ATT00204</t>
  </si>
  <si>
    <t>ATT00254</t>
  </si>
  <si>
    <t>ATT00304</t>
  </si>
  <si>
    <t>ATT00354</t>
  </si>
  <si>
    <t>ATT00404</t>
  </si>
  <si>
    <t>ATT00454</t>
  </si>
  <si>
    <t>ATT00005</t>
  </si>
  <si>
    <t>EMP2004</t>
  </si>
  <si>
    <t>ATT00055</t>
  </si>
  <si>
    <t>ATT00105</t>
  </si>
  <si>
    <t>ATT00155</t>
  </si>
  <si>
    <t>ATT00205</t>
  </si>
  <si>
    <t>ATT00255</t>
  </si>
  <si>
    <t>ATT00305</t>
  </si>
  <si>
    <t>ATT00355</t>
  </si>
  <si>
    <t>ATT00405</t>
  </si>
  <si>
    <t>ATT00455</t>
  </si>
  <si>
    <t>ATT00006</t>
  </si>
  <si>
    <t>EMP2005</t>
  </si>
  <si>
    <t>YES</t>
  </si>
  <si>
    <t>ATT00056</t>
  </si>
  <si>
    <t>ATT00106</t>
  </si>
  <si>
    <t>ATT00156</t>
  </si>
  <si>
    <t>ATT00206</t>
  </si>
  <si>
    <t>ATT00256</t>
  </si>
  <si>
    <t>ATT00306</t>
  </si>
  <si>
    <t>ATT00356</t>
  </si>
  <si>
    <t>ATT00406</t>
  </si>
  <si>
    <t>ATT00456</t>
  </si>
  <si>
    <t>ATT00001</t>
  </si>
  <si>
    <t>EMP3001</t>
  </si>
  <si>
    <t>present</t>
  </si>
  <si>
    <t>ATT00051</t>
  </si>
  <si>
    <t>ATT00101</t>
  </si>
  <si>
    <t>ATT00151</t>
  </si>
  <si>
    <t>ATT00201</t>
  </si>
  <si>
    <t>ATT00251</t>
  </si>
  <si>
    <t>ATT00301</t>
  </si>
  <si>
    <t>ATT00351</t>
  </si>
  <si>
    <t>ATT00401</t>
  </si>
  <si>
    <t>ATT00451</t>
  </si>
  <si>
    <t>ATT00013</t>
  </si>
  <si>
    <t>Validation</t>
  </si>
  <si>
    <t>Excel Method</t>
  </si>
  <si>
    <t>Count</t>
  </si>
  <si>
    <t>Total Records</t>
  </si>
  <si>
    <t>Row Count</t>
  </si>
  <si>
    <t>Missing Values</t>
  </si>
  <si>
    <t>Filter / Go To Special</t>
  </si>
  <si>
    <t>Duplicate Attendance_ID</t>
  </si>
  <si>
    <t>COUNTIF</t>
  </si>
  <si>
    <t>Duplicate Business Records (Date + Employee_ID)</t>
  </si>
  <si>
    <t>Helper Column + COUNTIF</t>
  </si>
  <si>
    <t>Invalid Employee_ID</t>
  </si>
  <si>
    <t>XLOOKUP Employee_Master</t>
  </si>
  <si>
    <t>Invalid Attendance_Status</t>
  </si>
  <si>
    <t>Filter Unique Values</t>
  </si>
  <si>
    <t>Invalid Login_Time</t>
  </si>
  <si>
    <t>Filter</t>
  </si>
  <si>
    <t>Invalid Logout_Time</t>
  </si>
  <si>
    <t>Logout Earlier than Login</t>
  </si>
  <si>
    <t>Formula</t>
  </si>
  <si>
    <t>Missing Login/Logout for Present Employees</t>
  </si>
  <si>
    <t>Leave with Login Time</t>
  </si>
  <si>
    <t>Holiday with Login Time</t>
  </si>
  <si>
    <t>Invalid Late_Login Values</t>
  </si>
  <si>
    <t>Future Dates</t>
  </si>
  <si>
    <t>Status</t>
  </si>
  <si>
    <t>500*7</t>
  </si>
  <si>
    <t>Blank Values</t>
  </si>
  <si>
    <t>Column</t>
  </si>
  <si>
    <t>Rule</t>
  </si>
  <si>
    <t>Must be unique</t>
  </si>
  <si>
    <t>Must be within reporting period</t>
  </si>
  <si>
    <t>Must exist in Employee_Master</t>
  </si>
  <si>
    <t>Present, WFH, Leave, Holiday</t>
  </si>
  <si>
    <t>Required for Present &amp; WFH</t>
  </si>
  <si>
    <t>Must be greater than Login_Time</t>
  </si>
  <si>
    <t>Login &amp; Logout should be blank</t>
  </si>
  <si>
    <t>Holiday</t>
  </si>
  <si>
    <t>Only Yes or No</t>
  </si>
  <si>
    <t>Duplicate Records</t>
  </si>
  <si>
    <t>Valid EMP ID</t>
  </si>
  <si>
    <t>Yes, because of blank Emp ID</t>
  </si>
  <si>
    <t>Logout&lt;Login</t>
  </si>
  <si>
    <t>4 genuine records missing login logout time other records are blanks due to absent</t>
  </si>
  <si>
    <t>Completed</t>
  </si>
  <si>
    <t>No Action</t>
  </si>
  <si>
    <t>Issue</t>
  </si>
  <si>
    <t>Action Taken</t>
  </si>
  <si>
    <t>Reason</t>
  </si>
  <si>
    <t>Source</t>
  </si>
  <si>
    <t>Duplicate Primary Key</t>
  </si>
  <si>
    <t>3 Records</t>
  </si>
  <si>
    <r>
      <t xml:space="preserve">Assigned new unique </t>
    </r>
    <r>
      <rPr>
        <sz val="10"/>
        <rFont val="Arial Unicode MS"/>
        <family val="2"/>
      </rPr>
      <t>Attendance_ID</t>
    </r>
    <r>
      <rPr>
        <sz val="11"/>
        <rFont val="Carlito"/>
      </rPr>
      <t>s to the duplicate records while retaining all attendance transactions.</t>
    </r>
  </si>
  <si>
    <t>Investigation confirmed that the records represented different attendance events for different employees and dates. Unique identifiers were generated to maintain primary key integrity without losing valid data.</t>
  </si>
  <si>
    <t>Existing Data + Project Business Rule</t>
  </si>
  <si>
    <t>ATT00015</t>
  </si>
  <si>
    <t>ATT00016</t>
  </si>
  <si>
    <t>Missing Value</t>
  </si>
  <si>
    <r>
      <t xml:space="preserve">Populated the missing </t>
    </r>
    <r>
      <rPr>
        <sz val="10"/>
        <rFont val="Arial Unicode MS"/>
        <family val="2"/>
      </rPr>
      <t>Employee_ID</t>
    </r>
    <r>
      <rPr>
        <sz val="11"/>
        <rFont val="Carlito"/>
      </rPr>
      <t xml:space="preserve"> by referencing the corresponding record in the </t>
    </r>
    <r>
      <rPr>
        <sz val="10"/>
        <rFont val="Arial Unicode MS"/>
        <family val="2"/>
      </rPr>
      <t>Daily_Production</t>
    </r>
    <r>
      <rPr>
        <sz val="11"/>
        <rFont val="Carlito"/>
      </rPr>
      <t xml:space="preserve"> dataset based on the matching business date and related transaction details.</t>
    </r>
  </si>
  <si>
    <t>Cross-dataset validation confirmed the correct employee, ensuring referential integrity between the Attendance and Daily Production datasets without introducing assumptions.</t>
  </si>
  <si>
    <t>Daily_Production</t>
  </si>
  <si>
    <t>Data Standardization</t>
  </si>
  <si>
    <t>n</t>
  </si>
  <si>
    <r>
      <t>Standardized attendance status values to the approved business values (</t>
    </r>
    <r>
      <rPr>
        <sz val="10"/>
        <rFont val="Arial Unicode MS"/>
        <family val="2"/>
      </rPr>
      <t>Present</t>
    </r>
    <r>
      <rPr>
        <sz val="11"/>
        <rFont val="Carlito"/>
      </rPr>
      <t xml:space="preserve">, </t>
    </r>
    <r>
      <rPr>
        <sz val="10"/>
        <rFont val="Arial Unicode MS"/>
        <family val="2"/>
      </rPr>
      <t>Absent</t>
    </r>
    <r>
      <rPr>
        <sz val="11"/>
        <rFont val="Carlito"/>
      </rPr>
      <t xml:space="preserve">, </t>
    </r>
    <r>
      <rPr>
        <sz val="10"/>
        <rFont val="Arial Unicode MS"/>
        <family val="2"/>
      </rPr>
      <t>Leave</t>
    </r>
    <r>
      <rPr>
        <sz val="11"/>
        <rFont val="Carlito"/>
      </rPr>
      <t xml:space="preserve">, </t>
    </r>
    <r>
      <rPr>
        <sz val="10"/>
        <rFont val="Arial Unicode MS"/>
        <family val="2"/>
      </rPr>
      <t>WFH</t>
    </r>
    <r>
      <rPr>
        <sz val="11"/>
        <rFont val="Carlito"/>
      </rPr>
      <t xml:space="preserve">, </t>
    </r>
    <r>
      <rPr>
        <sz val="10"/>
        <rFont val="Arial Unicode MS"/>
        <family val="2"/>
      </rPr>
      <t>Holiday</t>
    </r>
    <r>
      <rPr>
        <sz val="11"/>
        <rFont val="Carlito"/>
      </rPr>
      <t>).</t>
    </r>
  </si>
  <si>
    <t>Inconsistent attendance status values were standardized to ensure uniform reporting, filtering, and KPI calculations.</t>
  </si>
  <si>
    <t>Project Business Rule</t>
  </si>
  <si>
    <t>Business Rule Correction</t>
  </si>
  <si>
    <r>
      <t xml:space="preserve">Updated </t>
    </r>
    <r>
      <rPr>
        <sz val="10"/>
        <rFont val="Arial Unicode MS"/>
        <family val="2"/>
      </rPr>
      <t>Attendance_Status</t>
    </r>
    <r>
      <rPr>
        <sz val="11"/>
        <rFont val="Carlito"/>
      </rPr>
      <t xml:space="preserve"> from </t>
    </r>
    <r>
      <rPr>
        <b/>
        <sz val="11"/>
        <rFont val="Carlito"/>
      </rPr>
      <t>Present</t>
    </r>
    <r>
      <rPr>
        <sz val="11"/>
        <rFont val="Carlito"/>
      </rPr>
      <t xml:space="preserve"> to </t>
    </r>
    <r>
      <rPr>
        <b/>
        <sz val="11"/>
        <rFont val="Carlito"/>
      </rPr>
      <t>Absent</t>
    </r>
    <r>
      <rPr>
        <sz val="11"/>
        <rFont val="Carlito"/>
      </rPr>
      <t xml:space="preserve"> for records where both </t>
    </r>
    <r>
      <rPr>
        <sz val="10"/>
        <rFont val="Arial Unicode MS"/>
        <family val="2"/>
      </rPr>
      <t>Login_Time</t>
    </r>
    <r>
      <rPr>
        <sz val="11"/>
        <rFont val="Carlito"/>
      </rPr>
      <t xml:space="preserve"> and </t>
    </r>
    <r>
      <rPr>
        <sz val="10"/>
        <rFont val="Arial Unicode MS"/>
        <family val="2"/>
      </rPr>
      <t>Logout_Time</t>
    </r>
    <r>
      <rPr>
        <sz val="11"/>
        <rFont val="Carlito"/>
      </rPr>
      <t xml:space="preserve"> were blank.</t>
    </r>
  </si>
  <si>
    <r>
      <t xml:space="preserve">Employees marked as </t>
    </r>
    <r>
      <rPr>
        <b/>
        <sz val="11"/>
        <rFont val="Carlito"/>
      </rPr>
      <t>Present</t>
    </r>
    <r>
      <rPr>
        <sz val="11"/>
        <rFont val="Carlito"/>
      </rPr>
      <t xml:space="preserve"> must have valid login and logout times. Records with both time fields blank indicate no attendance activity and were reclassified as </t>
    </r>
    <r>
      <rPr>
        <b/>
        <sz val="11"/>
        <rFont val="Carlito"/>
      </rPr>
      <t>Absent</t>
    </r>
    <r>
      <rPr>
        <sz val="11"/>
        <rFont val="Carlito"/>
      </rPr>
      <t xml:space="preserve"> according to the project's business rule.</t>
    </r>
  </si>
  <si>
    <t>Duplicate Business Record</t>
  </si>
  <si>
    <t>Date + Employee_ID</t>
  </si>
  <si>
    <t>Removed duplicate attendance records, retaining a single valid record for each employee per business date.</t>
  </si>
  <si>
    <t>Attendance data should contain only one record per employee per business day. Duplicate records represented redundant entries and were removed to maintain data integrity.</t>
  </si>
  <si>
    <t>Attendance Business Rule</t>
  </si>
  <si>
    <t>Invalid Date</t>
  </si>
  <si>
    <t>Updated future dates to valid business dates within the project reporting period.</t>
  </si>
  <si>
    <t>Attendance records must fall within the defined reporting period. Future dates were identified as data entry errors and corrected to maintain chronological consistency for reporting and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</si>
</sst>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[$-F400]h:mm:ss\ AM/PM"/>
  </numFmts>
  <fonts count="9">
    <font>
      <sz val="11"/>
      <name val="Carlito"/>
    </font>
    <font>
      <b/>
      <sz val="10"/>
      <color rgb="FFFFFFFF"/>
      <name val="Arial"/>
    </font>
    <font>
      <sz val="10"/>
      <color rgb="FF1F1F1F"/>
      <name val="Arial"/>
    </font>
    <font>
      <b/>
      <sz val="11"/>
      <name val="Carlito"/>
    </font>
    <font>
      <b/>
      <sz val="10"/>
      <color rgb="FFFFFFFF"/>
      <name val="Arial"/>
      <family val="2"/>
    </font>
    <font>
      <sz val="10"/>
      <color rgb="FF1F1F1F"/>
      <name val="Arial"/>
      <family val="2"/>
    </font>
    <font>
      <sz val="10"/>
      <name val="Arial Unicode MS"/>
      <family val="2"/>
    </font>
    <font>
      <sz val="8"/>
      <name val="Carlito"/>
    </font>
    <font>
      <i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  <bgColor indexed="64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4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165" fontId="2" fillId="0" borderId="0" xfId="0" applyNumberFormat="1" applyFont="1" applyAlignment="1">
      <alignment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14" fontId="2" fillId="0" borderId="0" xfId="0" applyNumberFormat="1" applyFont="1" applyAlignment="1">
      <alignment vertical="center"/>
    </xf>
    <xf numFmtId="14" fontId="5" fillId="0" borderId="0" xfId="0" applyNumberFormat="1" applyFont="1" applyAlignment="1">
      <alignment vertical="center"/>
    </xf>
    <xf numFmtId="0" fontId="8" fillId="0" borderId="0" xfId="0" applyFont="1" applyAlignment="1">
      <alignment horizontal="right" vertical="center" wrapText="1"/>
    </xf>
  </cellXfs>
  <cellStyles count="1">
    <cellStyle name="Normal" xfId="0" builtinId="0"/>
  </cellStyles>
  <dxfs count="35">
    <dxf>
      <fill>
        <patternFill>
          <bgColor theme="9" tint="0.79998168889431442"/>
        </patternFill>
      </fill>
    </dxf>
    <dxf>
      <fill>
        <patternFill>
          <bgColor rgb="FFFFC5C5"/>
        </patternFill>
      </fill>
    </dxf>
    <dxf>
      <fill>
        <patternFill>
          <bgColor rgb="FFFEFEE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none"/>
      </font>
      <numFmt numFmtId="165" formatCode="[$-F400]h:mm:ss\ AM/PM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none"/>
      </font>
      <numFmt numFmtId="165" formatCode="[$-F400]h:mm:ss\ AM/PM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none"/>
      </font>
      <numFmt numFmtId="164" formatCode="yyyy\-mm\-dd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none"/>
      </font>
      <alignment horizontal="general" vertical="center" textRotation="0" wrapText="0" indent="0" justifyLastLine="0" shrinkToFit="0" readingOrder="0"/>
    </dxf>
    <dxf>
      <fill>
        <patternFill patternType="solid">
          <fgColor rgb="FFFFC7CE"/>
          <bgColor rgb="FF0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none"/>
      </font>
      <numFmt numFmtId="19" formatCode="dd/mm/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none"/>
      </font>
      <alignment horizontal="general" vertical="center" textRotation="0" wrapText="0" indent="0" justifyLastLine="0" shrinkToFit="0" readingOrder="0"/>
    </dxf>
    <dxf>
      <border outline="0">
        <top style="thin">
          <color rgb="FFFFFFFF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none"/>
      </font>
      <alignment horizontal="general" vertical="center" textRotation="0" wrapText="0" indent="0" justifyLastLine="0" shrinkToFit="0" readingOrder="0"/>
    </dxf>
    <dxf>
      <border outline="0">
        <bottom style="thin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ortfolio\End-to-End%20Analytics\Banking%20MIS%20Dashboard\Employee_Master.xlsx" TargetMode="External"/><Relationship Id="rId1" Type="http://schemas.openxmlformats.org/officeDocument/2006/relationships/externalLinkPath" Target="Employee_Ma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_Master"/>
      <sheetName val="Data_Cleaning_Log"/>
    </sheetNames>
    <sheetDataSet>
      <sheetData sheetId="0"/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42E080-C140-4C76-957B-C7C4962A3893}" name="Table1" displayName="Table1" ref="A1:J501" totalsRowShown="0" headerRowDxfId="23" dataDxfId="22">
  <autoFilter ref="A1:J501" xr:uid="{8E42E080-C140-4C76-957B-C7C4962A3893}">
    <filterColumn colId="9">
      <filters>
        <filter val="TRUE"/>
      </filters>
    </filterColumn>
  </autoFilter>
  <sortState xmlns:xlrd2="http://schemas.microsoft.com/office/spreadsheetml/2017/richdata2" ref="A2:J501">
    <sortCondition sortBy="cellColor" ref="A1:A501" dxfId="21"/>
  </sortState>
  <tableColumns count="10">
    <tableColumn id="1" xr3:uid="{11046558-32F2-40B7-8B58-46C5340664A4}" name="Attendance_ID" dataDxfId="20"/>
    <tableColumn id="2" xr3:uid="{2839BCE4-C53D-4833-A120-01FB970AB200}" name="Date" dataDxfId="19"/>
    <tableColumn id="3" xr3:uid="{990B8927-DBFF-4163-AC20-C0CCC1429A64}" name="Employee_ID" dataDxfId="18"/>
    <tableColumn id="4" xr3:uid="{1A15A454-F536-43A1-8325-6686717C169F}" name="Attendance_Status" dataDxfId="17"/>
    <tableColumn id="5" xr3:uid="{4E744196-61E0-4EEC-A23B-FA12FA524820}" name="Login_Time" dataDxfId="16"/>
    <tableColumn id="6" xr3:uid="{F3701FD2-88A6-4996-8928-36DDF957C906}" name="Logout_Time" dataDxfId="15"/>
    <tableColumn id="7" xr3:uid="{F6C8E766-B701-43C7-B725-E78E4B137960}" name="Late_Login" dataDxfId="14"/>
    <tableColumn id="8" xr3:uid="{D9E8690F-8D84-4384-ACEA-A8D76B7C4DF4}" name="Duplicate Records" dataDxfId="13">
      <calculatedColumnFormula>_xlfn.CONCAT(Table1[[#This Row],[Attendance_ID]],Table1[[#This Row],[Date]],Table1[[#This Row],[Employee_ID]])</calculatedColumnFormula>
    </tableColumn>
    <tableColumn id="9" xr3:uid="{11DA6D51-3F04-4A27-8618-EA9A9BD4D42E}" name="Valid EMP ID" dataDxfId="12">
      <calculatedColumnFormula>VLOOKUP(Table1[[#This Row],[Employee_ID]],[1]!Table1[[Employee_ID]:[Employee_Name]],2,0)</calculatedColumnFormula>
    </tableColumn>
    <tableColumn id="10" xr3:uid="{2CB82227-7340-4BED-8DD4-1A924FF0E3EA}" name="Logout&lt;Login" dataDxfId="11">
      <calculatedColumnFormula>Table1[[#This Row],[Login_Time]]&lt;Table1[[#This Row],[Logout_Time]]</calculatedColumnFormula>
    </tableColumn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9653007-D1F8-47EA-B486-929991DD7BE5}" name="Attendance" displayName="Attendance" ref="A1:G477" totalsRowShown="0" headerRowDxfId="34" dataDxfId="32" headerRowBorderDxfId="33" tableBorderDxfId="31">
  <tableColumns count="7">
    <tableColumn id="1" xr3:uid="{0E6151C1-8ED1-4835-9284-51C0B75EB803}" name="Attendance_ID" dataDxfId="30"/>
    <tableColumn id="2" xr3:uid="{1A3D6563-1F9D-4489-9D02-11D52CA1BE50}" name="Date" dataDxfId="29"/>
    <tableColumn id="3" xr3:uid="{51688342-A7DA-4ACC-8E97-BA2C62DC7CFA}" name="Employee_ID" dataDxfId="28"/>
    <tableColumn id="4" xr3:uid="{68D58554-99DA-4B2A-9AE0-3D7FC6781348}" name="Attendance_Status" dataDxfId="27"/>
    <tableColumn id="5" xr3:uid="{68896429-AB65-42A3-B669-9FB875BC7361}" name="Login_Time" dataDxfId="26"/>
    <tableColumn id="6" xr3:uid="{8791B0BA-81D1-4ED1-BB6A-70484FDFB57C}" name="Logout_Time" dataDxfId="25"/>
    <tableColumn id="7" xr3:uid="{B7EA7F4D-98A4-4903-8AFC-C87158D41036}" name="Late_Login" dataDxfId="24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5902FB-41BA-498E-A838-4D5BADE3E41B}" name="Table2" displayName="Table2" ref="A14:D28" totalsRowShown="0">
  <autoFilter ref="A14:D28" xr:uid="{3E5902FB-41BA-498E-A838-4D5BADE3E41B}"/>
  <sortState xmlns:xlrd2="http://schemas.microsoft.com/office/spreadsheetml/2017/richdata2" ref="A15:D28">
    <sortCondition ref="D14:D28"/>
  </sortState>
  <tableColumns count="4">
    <tableColumn id="1" xr3:uid="{3758AD78-E90F-4660-A395-8E306DFD59BE}" name="Validation" dataDxfId="10"/>
    <tableColumn id="2" xr3:uid="{0BA94C18-DCEB-4925-ACF6-035C0C41D38C}" name="Excel Method" dataDxfId="9"/>
    <tableColumn id="3" xr3:uid="{ACF0AD88-8C03-4560-A9A5-5DDD6E9A7195}" name="Count" dataDxfId="8"/>
    <tableColumn id="4" xr3:uid="{BAC47A8B-918F-4486-BCC1-E699045BAF50}" name="Status" dataDxfId="7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31F450-A48C-4F6A-8F58-EBB68ABD60D9}" name="Table3" displayName="Table3" ref="E1:K7" totalsRowShown="0" headerRowDxfId="6">
  <autoFilter ref="E1:K7" xr:uid="{5231F450-A48C-4F6A-8F58-EBB68ABD60D9}"/>
  <tableColumns count="7">
    <tableColumn id="1" xr3:uid="{CC13633E-AB44-4D6A-A4A9-9E1962CEF4D1}" name="Issue"/>
    <tableColumn id="2" xr3:uid="{8F6B5CFA-B9BD-4D91-8C8A-0D5AEEA806BD}" name="Column"/>
    <tableColumn id="3" xr3:uid="{78A99283-6020-4B89-87A9-34CB1E6B55AF}" name="Count"/>
    <tableColumn id="4" xr3:uid="{D570C7AD-68B4-40EA-B9B2-8FE8D6847510}" name="Action Taken"/>
    <tableColumn id="5" xr3:uid="{16A19158-C9EC-40C3-B349-A56DE1474406}" name="Reason"/>
    <tableColumn id="6" xr3:uid="{A4CBD277-AF52-42C3-95DB-343F119C3ADB}" name="Source"/>
    <tableColumn id="7" xr3:uid="{2FE6DAEB-987C-4232-9472-4FADAF5D6FB3}" name="Status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E9E2A-432D-4943-8FAD-2B02905D7638}">
  <dimension ref="A1:N501"/>
  <sheetViews>
    <sheetView workbookViewId="0">
      <pane ySplit="1" topLeftCell="A2" activePane="bottomLeft" state="frozen"/>
      <selection pane="bottomLeft" activeCell="C4" sqref="C4"/>
    </sheetView>
  </sheetViews>
  <sheetFormatPr defaultRowHeight="13.8"/>
  <cols>
    <col min="1" max="2" width="14" customWidth="1"/>
    <col min="3" max="3" width="12.69921875" customWidth="1"/>
    <col min="4" max="4" width="17.5" customWidth="1"/>
    <col min="5" max="5" width="11.59765625" customWidth="1"/>
    <col min="6" max="6" width="12.796875" customWidth="1"/>
    <col min="7" max="7" width="11.296875" customWidth="1"/>
    <col min="8" max="8" width="28" bestFit="1" customWidth="1"/>
    <col min="10" max="10" width="15.8984375" bestFit="1" customWidth="1"/>
    <col min="13" max="13" width="16.09765625" bestFit="1" customWidth="1"/>
  </cols>
  <sheetData>
    <row r="1" spans="1:14" ht="25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1" t="s">
        <v>672</v>
      </c>
      <c r="I1" s="13" t="s">
        <v>673</v>
      </c>
      <c r="J1" s="14" t="s">
        <v>675</v>
      </c>
    </row>
    <row r="2" spans="1:14" ht="15" customHeight="1">
      <c r="A2" s="2" t="s">
        <v>540</v>
      </c>
      <c r="B2" s="3">
        <v>45715</v>
      </c>
      <c r="C2" s="2" t="s">
        <v>541</v>
      </c>
      <c r="D2" s="2" t="s">
        <v>9</v>
      </c>
      <c r="E2" s="15" t="s">
        <v>47</v>
      </c>
      <c r="F2" s="15" t="s">
        <v>24</v>
      </c>
      <c r="G2" s="2" t="s">
        <v>21</v>
      </c>
      <c r="H2" t="str">
        <f>_xlfn.CONCAT(Table1[[#This Row],[Attendance_ID]],Table1[[#This Row],[Date]],Table1[[#This Row],[Employee_ID]])</f>
        <v>ATT0001445715EMP1509</v>
      </c>
      <c r="I2" s="12" t="e">
        <f>VLOOKUP(Table1[[#This Row],[Employee_ID]],[1]!Table1[[Employee_ID]:[Employee_Name]],2,0)</f>
        <v>#REF!</v>
      </c>
      <c r="J2" s="2" t="b">
        <f>Table1[[#This Row],[Login_Time]]&lt;Table1[[#This Row],[Logout_Time]]</f>
        <v>1</v>
      </c>
      <c r="M2" s="8" t="s">
        <v>660</v>
      </c>
      <c r="N2" s="8" t="s">
        <v>635</v>
      </c>
    </row>
    <row r="3" spans="1:14" ht="15" hidden="1" customHeight="1">
      <c r="A3" s="2" t="s">
        <v>38</v>
      </c>
      <c r="B3" s="3">
        <v>45745</v>
      </c>
      <c r="C3" s="2" t="s">
        <v>39</v>
      </c>
      <c r="D3" s="2" t="s">
        <v>9</v>
      </c>
      <c r="E3" s="15" t="s">
        <v>40</v>
      </c>
      <c r="F3" s="15"/>
      <c r="G3" s="2" t="s">
        <v>11</v>
      </c>
      <c r="H3" t="str">
        <f>_xlfn.CONCAT(Table1[[#This Row],[Attendance_ID]],Table1[[#This Row],[Date]],Table1[[#This Row],[Employee_ID]])</f>
        <v>ATT0001845745EMP1002</v>
      </c>
      <c r="I3" s="12" t="e">
        <f>VLOOKUP(Table1[[#This Row],[Employee_ID]],[1]!Table1[[Employee_ID]:[Employee_Name]],2,0)</f>
        <v>#REF!</v>
      </c>
      <c r="J3" s="2" t="b">
        <f>Table1[[#This Row],[Login_Time]]&lt;Table1[[#This Row],[Logout_Time]]</f>
        <v>0</v>
      </c>
      <c r="M3" t="s">
        <v>0</v>
      </c>
      <c r="N3">
        <v>0</v>
      </c>
    </row>
    <row r="4" spans="1:14" ht="15" customHeight="1">
      <c r="A4" s="2" t="s">
        <v>540</v>
      </c>
      <c r="B4" s="3">
        <v>45722</v>
      </c>
      <c r="C4" s="2"/>
      <c r="D4" s="2" t="s">
        <v>9</v>
      </c>
      <c r="E4" s="15" t="s">
        <v>136</v>
      </c>
      <c r="F4" s="15" t="s">
        <v>75</v>
      </c>
      <c r="G4" s="2" t="s">
        <v>21</v>
      </c>
      <c r="H4" t="str">
        <f>_xlfn.CONCAT(Table1[[#This Row],[Attendance_ID]],Table1[[#This Row],[Date]],Table1[[#This Row],[Employee_ID]])</f>
        <v>ATT0001445722</v>
      </c>
      <c r="I4" s="12" t="e">
        <f>VLOOKUP(Table1[[#This Row],[Employee_ID]],[1]!Table1[[Employee_ID]:[Employee_Name]],2,0)</f>
        <v>#REF!</v>
      </c>
      <c r="J4" s="2" t="b">
        <f>Table1[[#This Row],[Login_Time]]&lt;Table1[[#This Row],[Logout_Time]]</f>
        <v>1</v>
      </c>
      <c r="M4" t="s">
        <v>1</v>
      </c>
      <c r="N4">
        <v>0</v>
      </c>
    </row>
    <row r="5" spans="1:14" ht="15" customHeight="1">
      <c r="A5" s="2" t="s">
        <v>7</v>
      </c>
      <c r="B5" s="3">
        <v>45727</v>
      </c>
      <c r="C5" s="2" t="s">
        <v>8</v>
      </c>
      <c r="D5" s="2" t="s">
        <v>9</v>
      </c>
      <c r="E5" s="15"/>
      <c r="F5" s="15" t="s">
        <v>10</v>
      </c>
      <c r="G5" s="2" t="s">
        <v>11</v>
      </c>
      <c r="H5" t="str">
        <f>_xlfn.CONCAT(Table1[[#This Row],[Attendance_ID]],Table1[[#This Row],[Date]],Table1[[#This Row],[Employee_ID]])</f>
        <v>ATT0001745727EMP1001</v>
      </c>
      <c r="I5" s="12" t="e">
        <f>VLOOKUP(Table1[[#This Row],[Employee_ID]],[1]!Table1[[Employee_ID]:[Employee_Name]],2,0)</f>
        <v>#REF!</v>
      </c>
      <c r="J5" s="2" t="b">
        <f>Table1[[#This Row],[Login_Time]]&lt;Table1[[#This Row],[Logout_Time]]</f>
        <v>1</v>
      </c>
      <c r="M5" t="s">
        <v>2</v>
      </c>
      <c r="N5">
        <v>2</v>
      </c>
    </row>
    <row r="6" spans="1:14" ht="15" customHeight="1">
      <c r="A6" s="2" t="s">
        <v>12</v>
      </c>
      <c r="B6" s="3">
        <v>45694</v>
      </c>
      <c r="C6" s="2" t="s">
        <v>8</v>
      </c>
      <c r="D6" s="2" t="s">
        <v>9</v>
      </c>
      <c r="E6" s="15" t="s">
        <v>13</v>
      </c>
      <c r="F6" s="15" t="s">
        <v>14</v>
      </c>
      <c r="G6" s="2" t="s">
        <v>11</v>
      </c>
      <c r="H6" t="str">
        <f>_xlfn.CONCAT(Table1[[#This Row],[Attendance_ID]],Table1[[#This Row],[Date]],Table1[[#This Row],[Employee_ID]])</f>
        <v>ATT0006745694EMP1001</v>
      </c>
      <c r="I6" s="12" t="e">
        <f>VLOOKUP(Table1[[#This Row],[Employee_ID]],[1]!Table1[[Employee_ID]:[Employee_Name]],2,0)</f>
        <v>#REF!</v>
      </c>
      <c r="J6" s="2" t="b">
        <f>Table1[[#This Row],[Login_Time]]&lt;Table1[[#This Row],[Logout_Time]]</f>
        <v>1</v>
      </c>
      <c r="M6" t="s">
        <v>3</v>
      </c>
      <c r="N6">
        <v>0</v>
      </c>
    </row>
    <row r="7" spans="1:14" ht="15" customHeight="1">
      <c r="A7" s="2" t="s">
        <v>15</v>
      </c>
      <c r="B7" s="3">
        <v>45676</v>
      </c>
      <c r="C7" s="2" t="s">
        <v>8</v>
      </c>
      <c r="D7" s="2" t="s">
        <v>9</v>
      </c>
      <c r="E7" s="15" t="s">
        <v>16</v>
      </c>
      <c r="F7" s="15" t="s">
        <v>17</v>
      </c>
      <c r="G7" s="2" t="s">
        <v>11</v>
      </c>
      <c r="H7" t="str">
        <f>_xlfn.CONCAT(Table1[[#This Row],[Attendance_ID]],Table1[[#This Row],[Date]],Table1[[#This Row],[Employee_ID]])</f>
        <v>ATT0011745676EMP1001</v>
      </c>
      <c r="I7" s="12" t="e">
        <f>VLOOKUP(Table1[[#This Row],[Employee_ID]],[1]!Table1[[Employee_ID]:[Employee_Name]],2,0)</f>
        <v>#REF!</v>
      </c>
      <c r="J7" s="2" t="b">
        <f>Table1[[#This Row],[Login_Time]]&lt;Table1[[#This Row],[Logout_Time]]</f>
        <v>1</v>
      </c>
      <c r="M7" t="s">
        <v>4</v>
      </c>
      <c r="N7">
        <v>127</v>
      </c>
    </row>
    <row r="8" spans="1:14" ht="15" customHeight="1">
      <c r="A8" s="2" t="s">
        <v>18</v>
      </c>
      <c r="B8" s="3">
        <v>45684</v>
      </c>
      <c r="C8" s="2" t="s">
        <v>8</v>
      </c>
      <c r="D8" s="2" t="s">
        <v>9</v>
      </c>
      <c r="E8" s="15" t="s">
        <v>19</v>
      </c>
      <c r="F8" s="15" t="s">
        <v>20</v>
      </c>
      <c r="G8" s="2" t="s">
        <v>21</v>
      </c>
      <c r="H8" t="str">
        <f>_xlfn.CONCAT(Table1[[#This Row],[Attendance_ID]],Table1[[#This Row],[Date]],Table1[[#This Row],[Employee_ID]])</f>
        <v>ATT0016745684EMP1001</v>
      </c>
      <c r="I8" s="12" t="e">
        <f>VLOOKUP(Table1[[#This Row],[Employee_ID]],[1]!Table1[[Employee_ID]:[Employee_Name]],2,0)</f>
        <v>#REF!</v>
      </c>
      <c r="J8" s="2" t="b">
        <f>Table1[[#This Row],[Login_Time]]&lt;Table1[[#This Row],[Logout_Time]]</f>
        <v>1</v>
      </c>
      <c r="M8" t="s">
        <v>5</v>
      </c>
      <c r="N8">
        <v>127</v>
      </c>
    </row>
    <row r="9" spans="1:14" ht="15" customHeight="1">
      <c r="A9" s="2" t="s">
        <v>22</v>
      </c>
      <c r="B9" s="3">
        <v>45724</v>
      </c>
      <c r="C9" s="2" t="s">
        <v>8</v>
      </c>
      <c r="D9" s="2" t="s">
        <v>9</v>
      </c>
      <c r="E9" s="15" t="s">
        <v>23</v>
      </c>
      <c r="F9" s="15" t="s">
        <v>24</v>
      </c>
      <c r="G9" s="2" t="s">
        <v>11</v>
      </c>
      <c r="H9" t="str">
        <f>_xlfn.CONCAT(Table1[[#This Row],[Attendance_ID]],Table1[[#This Row],[Date]],Table1[[#This Row],[Employee_ID]])</f>
        <v>ATT0021745724EMP1001</v>
      </c>
      <c r="I9" s="12" t="e">
        <f>VLOOKUP(Table1[[#This Row],[Employee_ID]],[1]!Table1[[Employee_ID]:[Employee_Name]],2,0)</f>
        <v>#REF!</v>
      </c>
      <c r="J9" s="2" t="b">
        <f>Table1[[#This Row],[Login_Time]]&lt;Table1[[#This Row],[Logout_Time]]</f>
        <v>1</v>
      </c>
      <c r="M9" t="s">
        <v>6</v>
      </c>
      <c r="N9">
        <v>0</v>
      </c>
    </row>
    <row r="10" spans="1:14" ht="15" hidden="1" customHeight="1">
      <c r="A10" s="2" t="s">
        <v>540</v>
      </c>
      <c r="B10" s="3">
        <v>45659</v>
      </c>
      <c r="C10" s="2" t="s">
        <v>551</v>
      </c>
      <c r="D10" s="2" t="s">
        <v>26</v>
      </c>
      <c r="E10" s="15"/>
      <c r="F10" s="15"/>
      <c r="G10" s="2" t="s">
        <v>11</v>
      </c>
      <c r="H10" t="str">
        <f>_xlfn.CONCAT(Table1[[#This Row],[Attendance_ID]],Table1[[#This Row],[Date]],Table1[[#This Row],[Employee_ID]])</f>
        <v>ATT0001445659EMP1510</v>
      </c>
      <c r="I10" s="12" t="e">
        <f>VLOOKUP(Table1[[#This Row],[Employee_ID]],[1]!Table1[[Employee_ID]:[Employee_Name]],2,0)</f>
        <v>#REF!</v>
      </c>
      <c r="J10" s="2" t="b">
        <f>Table1[[#This Row],[Login_Time]]&lt;Table1[[#This Row],[Logout_Time]]</f>
        <v>0</v>
      </c>
    </row>
    <row r="11" spans="1:14" ht="15" customHeight="1">
      <c r="A11" s="2" t="s">
        <v>27</v>
      </c>
      <c r="B11" s="3">
        <v>45741</v>
      </c>
      <c r="C11" s="2" t="s">
        <v>8</v>
      </c>
      <c r="D11" s="2" t="s">
        <v>9</v>
      </c>
      <c r="E11" s="15" t="s">
        <v>28</v>
      </c>
      <c r="F11" s="15" t="s">
        <v>29</v>
      </c>
      <c r="G11" s="2" t="s">
        <v>21</v>
      </c>
      <c r="H11" t="str">
        <f>_xlfn.CONCAT(Table1[[#This Row],[Attendance_ID]],Table1[[#This Row],[Date]],Table1[[#This Row],[Employee_ID]])</f>
        <v>ATT0031745741EMP1001</v>
      </c>
      <c r="I11" s="12" t="e">
        <f>VLOOKUP(Table1[[#This Row],[Employee_ID]],[1]!Table1[[Employee_ID]:[Employee_Name]],2,0)</f>
        <v>#REF!</v>
      </c>
      <c r="J11" s="2" t="b">
        <f>Table1[[#This Row],[Login_Time]]&lt;Table1[[#This Row],[Logout_Time]]</f>
        <v>1</v>
      </c>
    </row>
    <row r="12" spans="1:14" ht="15" customHeight="1">
      <c r="A12" s="2" t="s">
        <v>30</v>
      </c>
      <c r="B12" s="3">
        <v>45725</v>
      </c>
      <c r="C12" s="2" t="s">
        <v>8</v>
      </c>
      <c r="D12" s="2" t="s">
        <v>9</v>
      </c>
      <c r="E12" s="15" t="s">
        <v>31</v>
      </c>
      <c r="F12" s="15" t="s">
        <v>32</v>
      </c>
      <c r="G12" s="2" t="s">
        <v>21</v>
      </c>
      <c r="H12" t="str">
        <f>_xlfn.CONCAT(Table1[[#This Row],[Attendance_ID]],Table1[[#This Row],[Date]],Table1[[#This Row],[Employee_ID]])</f>
        <v>ATT0036745725EMP1001</v>
      </c>
      <c r="I12" s="12" t="e">
        <f>VLOOKUP(Table1[[#This Row],[Employee_ID]],[1]!Table1[[Employee_ID]:[Employee_Name]],2,0)</f>
        <v>#REF!</v>
      </c>
      <c r="J12" s="2" t="b">
        <f>Table1[[#This Row],[Login_Time]]&lt;Table1[[#This Row],[Logout_Time]]</f>
        <v>1</v>
      </c>
    </row>
    <row r="13" spans="1:14" ht="15" customHeight="1">
      <c r="A13" s="2" t="s">
        <v>33</v>
      </c>
      <c r="B13" s="3">
        <v>45660</v>
      </c>
      <c r="C13" s="2" t="s">
        <v>8</v>
      </c>
      <c r="D13" s="2" t="s">
        <v>9</v>
      </c>
      <c r="E13" s="15" t="s">
        <v>34</v>
      </c>
      <c r="F13" s="15" t="s">
        <v>35</v>
      </c>
      <c r="G13" s="2" t="s">
        <v>21</v>
      </c>
      <c r="H13" t="str">
        <f>_xlfn.CONCAT(Table1[[#This Row],[Attendance_ID]],Table1[[#This Row],[Date]],Table1[[#This Row],[Employee_ID]])</f>
        <v>ATT0041745660EMP1001</v>
      </c>
      <c r="I13" s="12" t="e">
        <f>VLOOKUP(Table1[[#This Row],[Employee_ID]],[1]!Table1[[Employee_ID]:[Employee_Name]],2,0)</f>
        <v>#REF!</v>
      </c>
      <c r="J13" s="2" t="b">
        <f>Table1[[#This Row],[Login_Time]]&lt;Table1[[#This Row],[Logout_Time]]</f>
        <v>1</v>
      </c>
    </row>
    <row r="14" spans="1:14" ht="15" customHeight="1">
      <c r="A14" s="2" t="s">
        <v>36</v>
      </c>
      <c r="B14" s="3">
        <v>45718</v>
      </c>
      <c r="C14" s="2" t="s">
        <v>8</v>
      </c>
      <c r="D14" s="2" t="s">
        <v>9</v>
      </c>
      <c r="E14" s="15" t="s">
        <v>23</v>
      </c>
      <c r="F14" s="15" t="s">
        <v>37</v>
      </c>
      <c r="G14" s="2" t="s">
        <v>11</v>
      </c>
      <c r="H14" t="str">
        <f>_xlfn.CONCAT(Table1[[#This Row],[Attendance_ID]],Table1[[#This Row],[Date]],Table1[[#This Row],[Employee_ID]])</f>
        <v>ATT0046745718EMP1001</v>
      </c>
      <c r="I14" s="12" t="e">
        <f>VLOOKUP(Table1[[#This Row],[Employee_ID]],[1]!Table1[[Employee_ID]:[Employee_Name]],2,0)</f>
        <v>#REF!</v>
      </c>
      <c r="J14" s="2" t="b">
        <f>Table1[[#This Row],[Login_Time]]&lt;Table1[[#This Row],[Logout_Time]]</f>
        <v>1</v>
      </c>
    </row>
    <row r="15" spans="1:14" ht="15" hidden="1" customHeight="1">
      <c r="A15" s="2" t="s">
        <v>25</v>
      </c>
      <c r="B15" s="3">
        <v>45670</v>
      </c>
      <c r="C15" s="2" t="s">
        <v>8</v>
      </c>
      <c r="D15" s="2" t="s">
        <v>26</v>
      </c>
      <c r="E15" s="15"/>
      <c r="F15" s="15"/>
      <c r="G15" s="2" t="s">
        <v>11</v>
      </c>
      <c r="H15" t="str">
        <f>_xlfn.CONCAT(Table1[[#This Row],[Attendance_ID]],Table1[[#This Row],[Date]],Table1[[#This Row],[Employee_ID]])</f>
        <v>ATT0026745670EMP1001</v>
      </c>
      <c r="I15" s="12" t="e">
        <f>VLOOKUP(Table1[[#This Row],[Employee_ID]],[1]!Table1[[Employee_ID]:[Employee_Name]],2,0)</f>
        <v>#REF!</v>
      </c>
      <c r="J15" s="2" t="b">
        <f>Table1[[#This Row],[Login_Time]]&lt;Table1[[#This Row],[Logout_Time]]</f>
        <v>0</v>
      </c>
    </row>
    <row r="16" spans="1:14" ht="15" customHeight="1">
      <c r="A16" s="2" t="s">
        <v>41</v>
      </c>
      <c r="B16" s="3">
        <v>45723</v>
      </c>
      <c r="C16" s="2" t="s">
        <v>39</v>
      </c>
      <c r="D16" s="2" t="s">
        <v>42</v>
      </c>
      <c r="E16" s="15" t="s">
        <v>43</v>
      </c>
      <c r="F16" s="15" t="s">
        <v>44</v>
      </c>
      <c r="G16" s="2" t="s">
        <v>21</v>
      </c>
      <c r="H16" t="str">
        <f>_xlfn.CONCAT(Table1[[#This Row],[Attendance_ID]],Table1[[#This Row],[Date]],Table1[[#This Row],[Employee_ID]])</f>
        <v>ATT0006845723EMP1002</v>
      </c>
      <c r="I16" s="12" t="e">
        <f>VLOOKUP(Table1[[#This Row],[Employee_ID]],[1]!Table1[[Employee_ID]:[Employee_Name]],2,0)</f>
        <v>#REF!</v>
      </c>
      <c r="J16" s="2" t="b">
        <f>Table1[[#This Row],[Login_Time]]&lt;Table1[[#This Row],[Logout_Time]]</f>
        <v>1</v>
      </c>
    </row>
    <row r="17" spans="1:10" ht="15" customHeight="1">
      <c r="A17" s="2" t="s">
        <v>45</v>
      </c>
      <c r="B17" s="3">
        <v>45704</v>
      </c>
      <c r="C17" s="2" t="s">
        <v>39</v>
      </c>
      <c r="D17" s="2" t="s">
        <v>42</v>
      </c>
      <c r="E17" s="15" t="s">
        <v>40</v>
      </c>
      <c r="F17" s="15" t="s">
        <v>44</v>
      </c>
      <c r="G17" s="2" t="s">
        <v>11</v>
      </c>
      <c r="H17" t="str">
        <f>_xlfn.CONCAT(Table1[[#This Row],[Attendance_ID]],Table1[[#This Row],[Date]],Table1[[#This Row],[Employee_ID]])</f>
        <v>ATT0011845704EMP1002</v>
      </c>
      <c r="I17" s="12" t="e">
        <f>VLOOKUP(Table1[[#This Row],[Employee_ID]],[1]!Table1[[Employee_ID]:[Employee_Name]],2,0)</f>
        <v>#REF!</v>
      </c>
      <c r="J17" s="2" t="b">
        <f>Table1[[#This Row],[Login_Time]]&lt;Table1[[#This Row],[Logout_Time]]</f>
        <v>1</v>
      </c>
    </row>
    <row r="18" spans="1:10" ht="15" customHeight="1">
      <c r="A18" s="2" t="s">
        <v>46</v>
      </c>
      <c r="B18" s="3">
        <v>45670</v>
      </c>
      <c r="C18" s="2" t="s">
        <v>39</v>
      </c>
      <c r="D18" s="2" t="s">
        <v>9</v>
      </c>
      <c r="E18" s="15" t="s">
        <v>47</v>
      </c>
      <c r="F18" s="15" t="s">
        <v>48</v>
      </c>
      <c r="G18" s="2" t="s">
        <v>21</v>
      </c>
      <c r="H18" t="str">
        <f>_xlfn.CONCAT(Table1[[#This Row],[Attendance_ID]],Table1[[#This Row],[Date]],Table1[[#This Row],[Employee_ID]])</f>
        <v>ATT0016845670EMP1002</v>
      </c>
      <c r="I18" s="12" t="e">
        <f>VLOOKUP(Table1[[#This Row],[Employee_ID]],[1]!Table1[[Employee_ID]:[Employee_Name]],2,0)</f>
        <v>#REF!</v>
      </c>
      <c r="J18" s="2" t="b">
        <f>Table1[[#This Row],[Login_Time]]&lt;Table1[[#This Row],[Logout_Time]]</f>
        <v>1</v>
      </c>
    </row>
    <row r="19" spans="1:10" ht="15" customHeight="1">
      <c r="A19" s="2" t="s">
        <v>49</v>
      </c>
      <c r="B19" s="3">
        <v>45695</v>
      </c>
      <c r="C19" s="2" t="s">
        <v>39</v>
      </c>
      <c r="D19" s="2" t="s">
        <v>9</v>
      </c>
      <c r="E19" s="15" t="s">
        <v>50</v>
      </c>
      <c r="F19" s="15" t="s">
        <v>51</v>
      </c>
      <c r="G19" s="2" t="s">
        <v>21</v>
      </c>
      <c r="H19" t="str">
        <f>_xlfn.CONCAT(Table1[[#This Row],[Attendance_ID]],Table1[[#This Row],[Date]],Table1[[#This Row],[Employee_ID]])</f>
        <v>ATT0021845695EMP1002</v>
      </c>
      <c r="I19" s="12" t="e">
        <f>VLOOKUP(Table1[[#This Row],[Employee_ID]],[1]!Table1[[Employee_ID]:[Employee_Name]],2,0)</f>
        <v>#REF!</v>
      </c>
      <c r="J19" s="2" t="b">
        <f>Table1[[#This Row],[Login_Time]]&lt;Table1[[#This Row],[Logout_Time]]</f>
        <v>1</v>
      </c>
    </row>
    <row r="20" spans="1:10" ht="15" customHeight="1">
      <c r="A20" s="2" t="s">
        <v>52</v>
      </c>
      <c r="B20" s="3">
        <v>45692</v>
      </c>
      <c r="C20" s="2" t="s">
        <v>39</v>
      </c>
      <c r="D20" s="2" t="s">
        <v>42</v>
      </c>
      <c r="E20" s="15" t="s">
        <v>53</v>
      </c>
      <c r="F20" s="15" t="s">
        <v>10</v>
      </c>
      <c r="G20" s="2" t="s">
        <v>11</v>
      </c>
      <c r="H20" t="str">
        <f>_xlfn.CONCAT(Table1[[#This Row],[Attendance_ID]],Table1[[#This Row],[Date]],Table1[[#This Row],[Employee_ID]])</f>
        <v>ATT0026845692EMP1002</v>
      </c>
      <c r="I20" s="12" t="e">
        <f>VLOOKUP(Table1[[#This Row],[Employee_ID]],[1]!Table1[[Employee_ID]:[Employee_Name]],2,0)</f>
        <v>#REF!</v>
      </c>
      <c r="J20" s="2" t="b">
        <f>Table1[[#This Row],[Login_Time]]&lt;Table1[[#This Row],[Logout_Time]]</f>
        <v>1</v>
      </c>
    </row>
    <row r="21" spans="1:10" ht="15" customHeight="1">
      <c r="A21" s="2" t="s">
        <v>54</v>
      </c>
      <c r="B21" s="3">
        <v>45731</v>
      </c>
      <c r="C21" s="2" t="s">
        <v>39</v>
      </c>
      <c r="D21" s="2" t="s">
        <v>9</v>
      </c>
      <c r="E21" s="15" t="s">
        <v>50</v>
      </c>
      <c r="F21" s="15" t="s">
        <v>55</v>
      </c>
      <c r="G21" s="2" t="s">
        <v>21</v>
      </c>
      <c r="H21" t="str">
        <f>_xlfn.CONCAT(Table1[[#This Row],[Attendance_ID]],Table1[[#This Row],[Date]],Table1[[#This Row],[Employee_ID]])</f>
        <v>ATT0031845731EMP1002</v>
      </c>
      <c r="I21" s="12" t="e">
        <f>VLOOKUP(Table1[[#This Row],[Employee_ID]],[1]!Table1[[Employee_ID]:[Employee_Name]],2,0)</f>
        <v>#REF!</v>
      </c>
      <c r="J21" s="2" t="b">
        <f>Table1[[#This Row],[Login_Time]]&lt;Table1[[#This Row],[Logout_Time]]</f>
        <v>1</v>
      </c>
    </row>
    <row r="22" spans="1:10" ht="15" customHeight="1">
      <c r="A22" s="2" t="s">
        <v>56</v>
      </c>
      <c r="B22" s="3">
        <v>45672</v>
      </c>
      <c r="C22" s="2" t="s">
        <v>39</v>
      </c>
      <c r="D22" s="2" t="s">
        <v>9</v>
      </c>
      <c r="E22" s="15" t="s">
        <v>57</v>
      </c>
      <c r="F22" s="15" t="s">
        <v>44</v>
      </c>
      <c r="G22" s="2" t="s">
        <v>11</v>
      </c>
      <c r="H22" t="str">
        <f>_xlfn.CONCAT(Table1[[#This Row],[Attendance_ID]],Table1[[#This Row],[Date]],Table1[[#This Row],[Employee_ID]])</f>
        <v>ATT0036845672EMP1002</v>
      </c>
      <c r="I22" s="12" t="e">
        <f>VLOOKUP(Table1[[#This Row],[Employee_ID]],[1]!Table1[[Employee_ID]:[Employee_Name]],2,0)</f>
        <v>#REF!</v>
      </c>
      <c r="J22" s="2" t="b">
        <f>Table1[[#This Row],[Login_Time]]&lt;Table1[[#This Row],[Logout_Time]]</f>
        <v>1</v>
      </c>
    </row>
    <row r="23" spans="1:10" ht="15" customHeight="1">
      <c r="A23" s="2" t="s">
        <v>58</v>
      </c>
      <c r="B23" s="3">
        <v>45717</v>
      </c>
      <c r="C23" s="2" t="s">
        <v>39</v>
      </c>
      <c r="D23" s="2" t="s">
        <v>9</v>
      </c>
      <c r="E23" s="15" t="s">
        <v>59</v>
      </c>
      <c r="F23" s="15" t="s">
        <v>48</v>
      </c>
      <c r="G23" s="2" t="s">
        <v>21</v>
      </c>
      <c r="H23" t="str">
        <f>_xlfn.CONCAT(Table1[[#This Row],[Attendance_ID]],Table1[[#This Row],[Date]],Table1[[#This Row],[Employee_ID]])</f>
        <v>ATT0041845717EMP1002</v>
      </c>
      <c r="I23" s="12" t="e">
        <f>VLOOKUP(Table1[[#This Row],[Employee_ID]],[1]!Table1[[Employee_ID]:[Employee_Name]],2,0)</f>
        <v>#REF!</v>
      </c>
      <c r="J23" s="2" t="b">
        <f>Table1[[#This Row],[Login_Time]]&lt;Table1[[#This Row],[Logout_Time]]</f>
        <v>1</v>
      </c>
    </row>
    <row r="24" spans="1:10" ht="15" customHeight="1">
      <c r="A24" s="2" t="s">
        <v>60</v>
      </c>
      <c r="B24" s="3">
        <v>45691</v>
      </c>
      <c r="C24" s="2" t="s">
        <v>39</v>
      </c>
      <c r="D24" s="2" t="s">
        <v>9</v>
      </c>
      <c r="E24" s="15" t="s">
        <v>61</v>
      </c>
      <c r="F24" s="15" t="s">
        <v>17</v>
      </c>
      <c r="G24" s="2" t="s">
        <v>21</v>
      </c>
      <c r="H24" t="str">
        <f>_xlfn.CONCAT(Table1[[#This Row],[Attendance_ID]],Table1[[#This Row],[Date]],Table1[[#This Row],[Employee_ID]])</f>
        <v>ATT0046845691EMP1002</v>
      </c>
      <c r="I24" s="12" t="e">
        <f>VLOOKUP(Table1[[#This Row],[Employee_ID]],[1]!Table1[[Employee_ID]:[Employee_Name]],2,0)</f>
        <v>#REF!</v>
      </c>
      <c r="J24" s="2" t="b">
        <f>Table1[[#This Row],[Login_Time]]&lt;Table1[[#This Row],[Logout_Time]]</f>
        <v>1</v>
      </c>
    </row>
    <row r="25" spans="1:10" ht="15" hidden="1" customHeight="1">
      <c r="A25" s="2" t="s">
        <v>62</v>
      </c>
      <c r="B25" s="3" t="s">
        <v>63</v>
      </c>
      <c r="C25" s="2" t="s">
        <v>64</v>
      </c>
      <c r="D25" s="2" t="s">
        <v>26</v>
      </c>
      <c r="E25" s="15"/>
      <c r="F25" s="15"/>
      <c r="G25" s="2" t="s">
        <v>11</v>
      </c>
      <c r="H25" t="str">
        <f>_xlfn.CONCAT(Table1[[#This Row],[Attendance_ID]],Table1[[#This Row],[Date]],Table1[[#This Row],[Employee_ID]])</f>
        <v>ATT0001902/13/2025EMP1003</v>
      </c>
      <c r="I25" s="12" t="e">
        <f>VLOOKUP(Table1[[#This Row],[Employee_ID]],[1]!Table1[[Employee_ID]:[Employee_Name]],2,0)</f>
        <v>#REF!</v>
      </c>
      <c r="J25" s="2" t="b">
        <f>Table1[[#This Row],[Login_Time]]&lt;Table1[[#This Row],[Logout_Time]]</f>
        <v>0</v>
      </c>
    </row>
    <row r="26" spans="1:10" ht="15" customHeight="1">
      <c r="A26" s="2" t="s">
        <v>65</v>
      </c>
      <c r="B26" s="3">
        <v>45703</v>
      </c>
      <c r="C26" s="2" t="s">
        <v>64</v>
      </c>
      <c r="D26" s="2" t="s">
        <v>9</v>
      </c>
      <c r="E26" s="15" t="s">
        <v>43</v>
      </c>
      <c r="F26" s="15" t="s">
        <v>66</v>
      </c>
      <c r="G26" s="2" t="s">
        <v>21</v>
      </c>
      <c r="H26" t="str">
        <f>_xlfn.CONCAT(Table1[[#This Row],[Attendance_ID]],Table1[[#This Row],[Date]],Table1[[#This Row],[Employee_ID]])</f>
        <v>ATT0006945703EMP1003</v>
      </c>
      <c r="I26" s="12" t="e">
        <f>VLOOKUP(Table1[[#This Row],[Employee_ID]],[1]!Table1[[Employee_ID]:[Employee_Name]],2,0)</f>
        <v>#REF!</v>
      </c>
      <c r="J26" s="2" t="b">
        <f>Table1[[#This Row],[Login_Time]]&lt;Table1[[#This Row],[Logout_Time]]</f>
        <v>1</v>
      </c>
    </row>
    <row r="27" spans="1:10" ht="15" customHeight="1">
      <c r="A27" s="2" t="s">
        <v>67</v>
      </c>
      <c r="B27" s="3">
        <v>45691</v>
      </c>
      <c r="C27" s="2" t="s">
        <v>64</v>
      </c>
      <c r="D27" s="2" t="s">
        <v>9</v>
      </c>
      <c r="E27" s="15" t="s">
        <v>19</v>
      </c>
      <c r="F27" s="15" t="s">
        <v>68</v>
      </c>
      <c r="G27" s="2" t="s">
        <v>21</v>
      </c>
      <c r="H27" t="str">
        <f>_xlfn.CONCAT(Table1[[#This Row],[Attendance_ID]],Table1[[#This Row],[Date]],Table1[[#This Row],[Employee_ID]])</f>
        <v>ATT0011945691EMP1003</v>
      </c>
      <c r="I27" s="12" t="e">
        <f>VLOOKUP(Table1[[#This Row],[Employee_ID]],[1]!Table1[[Employee_ID]:[Employee_Name]],2,0)</f>
        <v>#REF!</v>
      </c>
      <c r="J27" s="2" t="b">
        <f>Table1[[#This Row],[Login_Time]]&lt;Table1[[#This Row],[Logout_Time]]</f>
        <v>1</v>
      </c>
    </row>
    <row r="28" spans="1:10" ht="15" hidden="1" customHeight="1">
      <c r="A28" s="2" t="s">
        <v>69</v>
      </c>
      <c r="B28" s="3">
        <v>45736</v>
      </c>
      <c r="C28" s="2" t="s">
        <v>64</v>
      </c>
      <c r="D28" s="2" t="s">
        <v>70</v>
      </c>
      <c r="E28" s="15"/>
      <c r="F28" s="15"/>
      <c r="G28" s="2" t="s">
        <v>11</v>
      </c>
      <c r="H28" t="str">
        <f>_xlfn.CONCAT(Table1[[#This Row],[Attendance_ID]],Table1[[#This Row],[Date]],Table1[[#This Row],[Employee_ID]])</f>
        <v>ATT0016945736EMP1003</v>
      </c>
      <c r="I28" s="12" t="e">
        <f>VLOOKUP(Table1[[#This Row],[Employee_ID]],[1]!Table1[[Employee_ID]:[Employee_Name]],2,0)</f>
        <v>#REF!</v>
      </c>
      <c r="J28" s="2" t="b">
        <f>Table1[[#This Row],[Login_Time]]&lt;Table1[[#This Row],[Logout_Time]]</f>
        <v>0</v>
      </c>
    </row>
    <row r="29" spans="1:10" ht="15" customHeight="1">
      <c r="A29" s="2" t="s">
        <v>71</v>
      </c>
      <c r="B29" s="3">
        <v>45714</v>
      </c>
      <c r="C29" s="2" t="s">
        <v>64</v>
      </c>
      <c r="D29" s="2" t="s">
        <v>9</v>
      </c>
      <c r="E29" s="15" t="s">
        <v>61</v>
      </c>
      <c r="F29" s="15" t="s">
        <v>72</v>
      </c>
      <c r="G29" s="2" t="s">
        <v>21</v>
      </c>
      <c r="H29" t="str">
        <f>_xlfn.CONCAT(Table1[[#This Row],[Attendance_ID]],Table1[[#This Row],[Date]],Table1[[#This Row],[Employee_ID]])</f>
        <v>ATT0021945714EMP1003</v>
      </c>
      <c r="I29" s="12" t="e">
        <f>VLOOKUP(Table1[[#This Row],[Employee_ID]],[1]!Table1[[Employee_ID]:[Employee_Name]],2,0)</f>
        <v>#REF!</v>
      </c>
      <c r="J29" s="2" t="b">
        <f>Table1[[#This Row],[Login_Time]]&lt;Table1[[#This Row],[Logout_Time]]</f>
        <v>1</v>
      </c>
    </row>
    <row r="30" spans="1:10" ht="15" hidden="1" customHeight="1">
      <c r="A30" s="2" t="s">
        <v>73</v>
      </c>
      <c r="B30" s="3">
        <v>45746</v>
      </c>
      <c r="C30" s="2" t="s">
        <v>64</v>
      </c>
      <c r="D30" s="2" t="s">
        <v>70</v>
      </c>
      <c r="E30" s="15"/>
      <c r="F30" s="15"/>
      <c r="G30" s="2" t="s">
        <v>11</v>
      </c>
      <c r="H30" t="str">
        <f>_xlfn.CONCAT(Table1[[#This Row],[Attendance_ID]],Table1[[#This Row],[Date]],Table1[[#This Row],[Employee_ID]])</f>
        <v>ATT0026945746EMP1003</v>
      </c>
      <c r="I30" s="12" t="e">
        <f>VLOOKUP(Table1[[#This Row],[Employee_ID]],[1]!Table1[[Employee_ID]:[Employee_Name]],2,0)</f>
        <v>#REF!</v>
      </c>
      <c r="J30" s="2" t="b">
        <f>Table1[[#This Row],[Login_Time]]&lt;Table1[[#This Row],[Logout_Time]]</f>
        <v>0</v>
      </c>
    </row>
    <row r="31" spans="1:10" ht="15" customHeight="1">
      <c r="A31" s="2" t="s">
        <v>74</v>
      </c>
      <c r="B31" s="3">
        <v>45677</v>
      </c>
      <c r="C31" s="2" t="s">
        <v>64</v>
      </c>
      <c r="D31" s="2" t="s">
        <v>9</v>
      </c>
      <c r="E31" s="15" t="s">
        <v>28</v>
      </c>
      <c r="F31" s="15" t="s">
        <v>75</v>
      </c>
      <c r="G31" s="2" t="s">
        <v>21</v>
      </c>
      <c r="H31" t="str">
        <f>_xlfn.CONCAT(Table1[[#This Row],[Attendance_ID]],Table1[[#This Row],[Date]],Table1[[#This Row],[Employee_ID]])</f>
        <v>ATT0031945677EMP1003</v>
      </c>
      <c r="I31" s="12" t="e">
        <f>VLOOKUP(Table1[[#This Row],[Employee_ID]],[1]!Table1[[Employee_ID]:[Employee_Name]],2,0)</f>
        <v>#REF!</v>
      </c>
      <c r="J31" s="2" t="b">
        <f>Table1[[#This Row],[Login_Time]]&lt;Table1[[#This Row],[Logout_Time]]</f>
        <v>1</v>
      </c>
    </row>
    <row r="32" spans="1:10" ht="15" hidden="1" customHeight="1">
      <c r="A32" s="2" t="s">
        <v>76</v>
      </c>
      <c r="B32" s="3">
        <v>45671</v>
      </c>
      <c r="C32" s="2" t="s">
        <v>64</v>
      </c>
      <c r="D32" s="2" t="s">
        <v>70</v>
      </c>
      <c r="E32" s="15"/>
      <c r="F32" s="15"/>
      <c r="G32" s="2" t="s">
        <v>11</v>
      </c>
      <c r="H32" t="str">
        <f>_xlfn.CONCAT(Table1[[#This Row],[Attendance_ID]],Table1[[#This Row],[Date]],Table1[[#This Row],[Employee_ID]])</f>
        <v>ATT0036945671EMP1003</v>
      </c>
      <c r="I32" s="12" t="e">
        <f>VLOOKUP(Table1[[#This Row],[Employee_ID]],[1]!Table1[[Employee_ID]:[Employee_Name]],2,0)</f>
        <v>#REF!</v>
      </c>
      <c r="J32" s="2" t="b">
        <f>Table1[[#This Row],[Login_Time]]&lt;Table1[[#This Row],[Logout_Time]]</f>
        <v>0</v>
      </c>
    </row>
    <row r="33" spans="1:10" ht="15" customHeight="1">
      <c r="A33" s="2" t="s">
        <v>77</v>
      </c>
      <c r="B33" s="3">
        <v>45671</v>
      </c>
      <c r="C33" s="2" t="s">
        <v>64</v>
      </c>
      <c r="D33" s="2" t="s">
        <v>9</v>
      </c>
      <c r="E33" s="15" t="s">
        <v>28</v>
      </c>
      <c r="F33" s="15" t="s">
        <v>78</v>
      </c>
      <c r="G33" s="2" t="s">
        <v>21</v>
      </c>
      <c r="H33" t="str">
        <f>_xlfn.CONCAT(Table1[[#This Row],[Attendance_ID]],Table1[[#This Row],[Date]],Table1[[#This Row],[Employee_ID]])</f>
        <v>ATT0041945671EMP1003</v>
      </c>
      <c r="I33" s="12" t="e">
        <f>VLOOKUP(Table1[[#This Row],[Employee_ID]],[1]!Table1[[Employee_ID]:[Employee_Name]],2,0)</f>
        <v>#REF!</v>
      </c>
      <c r="J33" s="2" t="b">
        <f>Table1[[#This Row],[Login_Time]]&lt;Table1[[#This Row],[Logout_Time]]</f>
        <v>1</v>
      </c>
    </row>
    <row r="34" spans="1:10" ht="15" customHeight="1">
      <c r="A34" s="2" t="s">
        <v>79</v>
      </c>
      <c r="B34" s="3">
        <v>45729</v>
      </c>
      <c r="C34" s="2" t="s">
        <v>64</v>
      </c>
      <c r="D34" s="2" t="s">
        <v>9</v>
      </c>
      <c r="E34" s="15" t="s">
        <v>80</v>
      </c>
      <c r="F34" s="15" t="s">
        <v>66</v>
      </c>
      <c r="G34" s="2" t="s">
        <v>21</v>
      </c>
      <c r="H34" t="str">
        <f>_xlfn.CONCAT(Table1[[#This Row],[Attendance_ID]],Table1[[#This Row],[Date]],Table1[[#This Row],[Employee_ID]])</f>
        <v>ATT0046945729EMP1003</v>
      </c>
      <c r="I34" s="12" t="e">
        <f>VLOOKUP(Table1[[#This Row],[Employee_ID]],[1]!Table1[[Employee_ID]:[Employee_Name]],2,0)</f>
        <v>#REF!</v>
      </c>
      <c r="J34" s="2" t="b">
        <f>Table1[[#This Row],[Login_Time]]&lt;Table1[[#This Row],[Logout_Time]]</f>
        <v>1</v>
      </c>
    </row>
    <row r="35" spans="1:10" ht="15" hidden="1" customHeight="1">
      <c r="A35" s="2" t="s">
        <v>81</v>
      </c>
      <c r="B35" s="3" t="s">
        <v>82</v>
      </c>
      <c r="C35" s="2" t="s">
        <v>83</v>
      </c>
      <c r="D35" s="2" t="s">
        <v>26</v>
      </c>
      <c r="E35" s="15"/>
      <c r="F35" s="15"/>
      <c r="G35" s="2" t="s">
        <v>11</v>
      </c>
      <c r="H35" t="str">
        <f>_xlfn.CONCAT(Table1[[#This Row],[Attendance_ID]],Table1[[#This Row],[Date]],Table1[[#This Row],[Employee_ID]])</f>
        <v>ATT000202025.03.04EMP1004</v>
      </c>
      <c r="I35" s="12" t="e">
        <f>VLOOKUP(Table1[[#This Row],[Employee_ID]],[1]!Table1[[Employee_ID]:[Employee_Name]],2,0)</f>
        <v>#REF!</v>
      </c>
      <c r="J35" s="2" t="b">
        <f>Table1[[#This Row],[Login_Time]]&lt;Table1[[#This Row],[Logout_Time]]</f>
        <v>0</v>
      </c>
    </row>
    <row r="36" spans="1:10" ht="15" hidden="1" customHeight="1">
      <c r="A36" s="2" t="s">
        <v>84</v>
      </c>
      <c r="B36" s="3">
        <v>45723</v>
      </c>
      <c r="C36" s="2" t="s">
        <v>83</v>
      </c>
      <c r="D36" s="2" t="s">
        <v>26</v>
      </c>
      <c r="E36" s="15"/>
      <c r="F36" s="15"/>
      <c r="G36" s="2" t="s">
        <v>11</v>
      </c>
      <c r="H36" t="str">
        <f>_xlfn.CONCAT(Table1[[#This Row],[Attendance_ID]],Table1[[#This Row],[Date]],Table1[[#This Row],[Employee_ID]])</f>
        <v>ATT0007045723EMP1004</v>
      </c>
      <c r="I36" s="12" t="e">
        <f>VLOOKUP(Table1[[#This Row],[Employee_ID]],[1]!Table1[[Employee_ID]:[Employee_Name]],2,0)</f>
        <v>#REF!</v>
      </c>
      <c r="J36" s="2" t="b">
        <f>Table1[[#This Row],[Login_Time]]&lt;Table1[[#This Row],[Logout_Time]]</f>
        <v>0</v>
      </c>
    </row>
    <row r="37" spans="1:10" ht="15" customHeight="1">
      <c r="A37" s="2" t="s">
        <v>85</v>
      </c>
      <c r="B37" s="3">
        <v>45746</v>
      </c>
      <c r="C37" s="2" t="s">
        <v>83</v>
      </c>
      <c r="D37" s="2" t="s">
        <v>42</v>
      </c>
      <c r="E37" s="15" t="s">
        <v>31</v>
      </c>
      <c r="F37" s="15" t="s">
        <v>86</v>
      </c>
      <c r="G37" s="2" t="s">
        <v>21</v>
      </c>
      <c r="H37" t="str">
        <f>_xlfn.CONCAT(Table1[[#This Row],[Attendance_ID]],Table1[[#This Row],[Date]],Table1[[#This Row],[Employee_ID]])</f>
        <v>ATT0012045746EMP1004</v>
      </c>
      <c r="I37" s="12" t="e">
        <f>VLOOKUP(Table1[[#This Row],[Employee_ID]],[1]!Table1[[Employee_ID]:[Employee_Name]],2,0)</f>
        <v>#REF!</v>
      </c>
      <c r="J37" s="2" t="b">
        <f>Table1[[#This Row],[Login_Time]]&lt;Table1[[#This Row],[Logout_Time]]</f>
        <v>1</v>
      </c>
    </row>
    <row r="38" spans="1:10" ht="15" customHeight="1">
      <c r="A38" s="2" t="s">
        <v>87</v>
      </c>
      <c r="B38" s="3">
        <v>45691</v>
      </c>
      <c r="C38" s="2" t="s">
        <v>83</v>
      </c>
      <c r="D38" s="2" t="s">
        <v>9</v>
      </c>
      <c r="E38" s="15" t="s">
        <v>19</v>
      </c>
      <c r="F38" s="15" t="s">
        <v>37</v>
      </c>
      <c r="G38" s="2" t="s">
        <v>21</v>
      </c>
      <c r="H38" t="str">
        <f>_xlfn.CONCAT(Table1[[#This Row],[Attendance_ID]],Table1[[#This Row],[Date]],Table1[[#This Row],[Employee_ID]])</f>
        <v>ATT0017045691EMP1004</v>
      </c>
      <c r="I38" s="12" t="e">
        <f>VLOOKUP(Table1[[#This Row],[Employee_ID]],[1]!Table1[[Employee_ID]:[Employee_Name]],2,0)</f>
        <v>#REF!</v>
      </c>
      <c r="J38" s="2" t="b">
        <f>Table1[[#This Row],[Login_Time]]&lt;Table1[[#This Row],[Logout_Time]]</f>
        <v>1</v>
      </c>
    </row>
    <row r="39" spans="1:10" ht="15" customHeight="1">
      <c r="A39" s="2" t="s">
        <v>88</v>
      </c>
      <c r="B39" s="3">
        <v>45666</v>
      </c>
      <c r="C39" s="2" t="s">
        <v>83</v>
      </c>
      <c r="D39" s="2" t="s">
        <v>42</v>
      </c>
      <c r="E39" s="15" t="s">
        <v>89</v>
      </c>
      <c r="F39" s="15" t="s">
        <v>90</v>
      </c>
      <c r="G39" s="2" t="s">
        <v>21</v>
      </c>
      <c r="H39" t="str">
        <f>_xlfn.CONCAT(Table1[[#This Row],[Attendance_ID]],Table1[[#This Row],[Date]],Table1[[#This Row],[Employee_ID]])</f>
        <v>ATT0022045666EMP1004</v>
      </c>
      <c r="I39" s="12" t="e">
        <f>VLOOKUP(Table1[[#This Row],[Employee_ID]],[1]!Table1[[Employee_ID]:[Employee_Name]],2,0)</f>
        <v>#REF!</v>
      </c>
      <c r="J39" s="2" t="b">
        <f>Table1[[#This Row],[Login_Time]]&lt;Table1[[#This Row],[Logout_Time]]</f>
        <v>1</v>
      </c>
    </row>
    <row r="40" spans="1:10" ht="15" customHeight="1">
      <c r="A40" s="2" t="s">
        <v>91</v>
      </c>
      <c r="B40" s="3">
        <v>45693</v>
      </c>
      <c r="C40" s="2" t="s">
        <v>83</v>
      </c>
      <c r="D40" s="2" t="s">
        <v>42</v>
      </c>
      <c r="E40" s="15" t="s">
        <v>31</v>
      </c>
      <c r="F40" s="15" t="s">
        <v>92</v>
      </c>
      <c r="G40" s="2" t="s">
        <v>21</v>
      </c>
      <c r="H40" t="str">
        <f>_xlfn.CONCAT(Table1[[#This Row],[Attendance_ID]],Table1[[#This Row],[Date]],Table1[[#This Row],[Employee_ID]])</f>
        <v>ATT0027045693EMP1004</v>
      </c>
      <c r="I40" s="12" t="e">
        <f>VLOOKUP(Table1[[#This Row],[Employee_ID]],[1]!Table1[[Employee_ID]:[Employee_Name]],2,0)</f>
        <v>#REF!</v>
      </c>
      <c r="J40" s="2" t="b">
        <f>Table1[[#This Row],[Login_Time]]&lt;Table1[[#This Row],[Logout_Time]]</f>
        <v>1</v>
      </c>
    </row>
    <row r="41" spans="1:10" ht="15" customHeight="1">
      <c r="A41" s="2" t="s">
        <v>93</v>
      </c>
      <c r="B41" s="3">
        <v>45699</v>
      </c>
      <c r="C41" s="2" t="s">
        <v>83</v>
      </c>
      <c r="D41" s="2" t="s">
        <v>9</v>
      </c>
      <c r="E41" s="15" t="s">
        <v>89</v>
      </c>
      <c r="F41" s="15" t="s">
        <v>17</v>
      </c>
      <c r="G41" s="2" t="s">
        <v>21</v>
      </c>
      <c r="H41" t="str">
        <f>_xlfn.CONCAT(Table1[[#This Row],[Attendance_ID]],Table1[[#This Row],[Date]],Table1[[#This Row],[Employee_ID]])</f>
        <v>ATT0032045699EMP1004</v>
      </c>
      <c r="I41" s="12" t="e">
        <f>VLOOKUP(Table1[[#This Row],[Employee_ID]],[1]!Table1[[Employee_ID]:[Employee_Name]],2,0)</f>
        <v>#REF!</v>
      </c>
      <c r="J41" s="2" t="b">
        <f>Table1[[#This Row],[Login_Time]]&lt;Table1[[#This Row],[Logout_Time]]</f>
        <v>1</v>
      </c>
    </row>
    <row r="42" spans="1:10" ht="15" customHeight="1">
      <c r="A42" s="2" t="s">
        <v>94</v>
      </c>
      <c r="B42" s="3">
        <v>45728</v>
      </c>
      <c r="C42" s="2" t="s">
        <v>83</v>
      </c>
      <c r="D42" s="2" t="s">
        <v>9</v>
      </c>
      <c r="E42" s="15" t="s">
        <v>16</v>
      </c>
      <c r="F42" s="15" t="s">
        <v>68</v>
      </c>
      <c r="G42" s="2" t="s">
        <v>11</v>
      </c>
      <c r="H42" t="str">
        <f>_xlfn.CONCAT(Table1[[#This Row],[Attendance_ID]],Table1[[#This Row],[Date]],Table1[[#This Row],[Employee_ID]])</f>
        <v>ATT0037045728EMP1004</v>
      </c>
      <c r="I42" s="12" t="e">
        <f>VLOOKUP(Table1[[#This Row],[Employee_ID]],[1]!Table1[[Employee_ID]:[Employee_Name]],2,0)</f>
        <v>#REF!</v>
      </c>
      <c r="J42" s="2" t="b">
        <f>Table1[[#This Row],[Login_Time]]&lt;Table1[[#This Row],[Logout_Time]]</f>
        <v>1</v>
      </c>
    </row>
    <row r="43" spans="1:10" ht="15" customHeight="1">
      <c r="A43" s="2" t="s">
        <v>95</v>
      </c>
      <c r="B43" s="3">
        <v>45714</v>
      </c>
      <c r="C43" s="2" t="s">
        <v>83</v>
      </c>
      <c r="D43" s="2" t="s">
        <v>42</v>
      </c>
      <c r="E43" s="15" t="s">
        <v>40</v>
      </c>
      <c r="F43" s="15" t="s">
        <v>96</v>
      </c>
      <c r="G43" s="2" t="s">
        <v>11</v>
      </c>
      <c r="H43" t="str">
        <f>_xlfn.CONCAT(Table1[[#This Row],[Attendance_ID]],Table1[[#This Row],[Date]],Table1[[#This Row],[Employee_ID]])</f>
        <v>ATT0042045714EMP1004</v>
      </c>
      <c r="I43" s="12" t="e">
        <f>VLOOKUP(Table1[[#This Row],[Employee_ID]],[1]!Table1[[Employee_ID]:[Employee_Name]],2,0)</f>
        <v>#REF!</v>
      </c>
      <c r="J43" s="2" t="b">
        <f>Table1[[#This Row],[Login_Time]]&lt;Table1[[#This Row],[Logout_Time]]</f>
        <v>1</v>
      </c>
    </row>
    <row r="44" spans="1:10" ht="15" hidden="1" customHeight="1">
      <c r="A44" s="2" t="s">
        <v>97</v>
      </c>
      <c r="B44" s="3">
        <v>45677</v>
      </c>
      <c r="C44" s="2" t="s">
        <v>83</v>
      </c>
      <c r="D44" s="2" t="s">
        <v>70</v>
      </c>
      <c r="E44" s="15"/>
      <c r="F44" s="15"/>
      <c r="G44" s="2" t="s">
        <v>11</v>
      </c>
      <c r="H44" t="str">
        <f>_xlfn.CONCAT(Table1[[#This Row],[Attendance_ID]],Table1[[#This Row],[Date]],Table1[[#This Row],[Employee_ID]])</f>
        <v>ATT0047045677EMP1004</v>
      </c>
      <c r="I44" s="12" t="e">
        <f>VLOOKUP(Table1[[#This Row],[Employee_ID]],[1]!Table1[[Employee_ID]:[Employee_Name]],2,0)</f>
        <v>#REF!</v>
      </c>
      <c r="J44" s="2" t="b">
        <f>Table1[[#This Row],[Login_Time]]&lt;Table1[[#This Row],[Logout_Time]]</f>
        <v>0</v>
      </c>
    </row>
    <row r="45" spans="1:10" ht="15" customHeight="1">
      <c r="A45" s="2" t="s">
        <v>98</v>
      </c>
      <c r="B45" s="3">
        <v>45669</v>
      </c>
      <c r="C45" s="2" t="s">
        <v>99</v>
      </c>
      <c r="D45" s="2" t="s">
        <v>9</v>
      </c>
      <c r="E45" s="15" t="s">
        <v>100</v>
      </c>
      <c r="F45" s="15" t="s">
        <v>101</v>
      </c>
      <c r="G45" s="2" t="s">
        <v>11</v>
      </c>
      <c r="H45" t="str">
        <f>_xlfn.CONCAT(Table1[[#This Row],[Attendance_ID]],Table1[[#This Row],[Date]],Table1[[#This Row],[Employee_ID]])</f>
        <v>ATT0002145669EMP1005</v>
      </c>
      <c r="I45" s="12" t="e">
        <f>VLOOKUP(Table1[[#This Row],[Employee_ID]],[1]!Table1[[Employee_ID]:[Employee_Name]],2,0)</f>
        <v>#REF!</v>
      </c>
      <c r="J45" s="2" t="b">
        <f>Table1[[#This Row],[Login_Time]]&lt;Table1[[#This Row],[Logout_Time]]</f>
        <v>1</v>
      </c>
    </row>
    <row r="46" spans="1:10" ht="15" customHeight="1">
      <c r="A46" s="2" t="s">
        <v>102</v>
      </c>
      <c r="B46" s="3">
        <v>45712</v>
      </c>
      <c r="C46" s="2" t="s">
        <v>99</v>
      </c>
      <c r="D46" s="2" t="s">
        <v>42</v>
      </c>
      <c r="E46" s="15" t="s">
        <v>19</v>
      </c>
      <c r="F46" s="15" t="s">
        <v>103</v>
      </c>
      <c r="G46" s="2" t="s">
        <v>21</v>
      </c>
      <c r="H46" t="str">
        <f>_xlfn.CONCAT(Table1[[#This Row],[Attendance_ID]],Table1[[#This Row],[Date]],Table1[[#This Row],[Employee_ID]])</f>
        <v>ATT0007145712EMP1005</v>
      </c>
      <c r="I46" s="12" t="e">
        <f>VLOOKUP(Table1[[#This Row],[Employee_ID]],[1]!Table1[[Employee_ID]:[Employee_Name]],2,0)</f>
        <v>#REF!</v>
      </c>
      <c r="J46" s="2" t="b">
        <f>Table1[[#This Row],[Login_Time]]&lt;Table1[[#This Row],[Logout_Time]]</f>
        <v>1</v>
      </c>
    </row>
    <row r="47" spans="1:10" ht="15" customHeight="1">
      <c r="A47" s="2" t="s">
        <v>104</v>
      </c>
      <c r="B47" s="3">
        <v>45741</v>
      </c>
      <c r="C47" s="2" t="s">
        <v>99</v>
      </c>
      <c r="D47" s="2" t="s">
        <v>42</v>
      </c>
      <c r="E47" s="15" t="s">
        <v>105</v>
      </c>
      <c r="F47" s="15" t="s">
        <v>106</v>
      </c>
      <c r="G47" s="2" t="s">
        <v>21</v>
      </c>
      <c r="H47" t="str">
        <f>_xlfn.CONCAT(Table1[[#This Row],[Attendance_ID]],Table1[[#This Row],[Date]],Table1[[#This Row],[Employee_ID]])</f>
        <v>ATT0012145741EMP1005</v>
      </c>
      <c r="I47" s="12" t="e">
        <f>VLOOKUP(Table1[[#This Row],[Employee_ID]],[1]!Table1[[Employee_ID]:[Employee_Name]],2,0)</f>
        <v>#REF!</v>
      </c>
      <c r="J47" s="2" t="b">
        <f>Table1[[#This Row],[Login_Time]]&lt;Table1[[#This Row],[Logout_Time]]</f>
        <v>1</v>
      </c>
    </row>
    <row r="48" spans="1:10" ht="15" customHeight="1">
      <c r="A48" s="2" t="s">
        <v>107</v>
      </c>
      <c r="B48" s="3">
        <v>45734</v>
      </c>
      <c r="C48" s="2" t="s">
        <v>99</v>
      </c>
      <c r="D48" s="2" t="s">
        <v>9</v>
      </c>
      <c r="E48" s="15" t="s">
        <v>108</v>
      </c>
      <c r="F48" s="15" t="s">
        <v>90</v>
      </c>
      <c r="G48" s="2" t="s">
        <v>11</v>
      </c>
      <c r="H48" t="str">
        <f>_xlfn.CONCAT(Table1[[#This Row],[Attendance_ID]],Table1[[#This Row],[Date]],Table1[[#This Row],[Employee_ID]])</f>
        <v>ATT0017145734EMP1005</v>
      </c>
      <c r="I48" s="12" t="e">
        <f>VLOOKUP(Table1[[#This Row],[Employee_ID]],[1]!Table1[[Employee_ID]:[Employee_Name]],2,0)</f>
        <v>#REF!</v>
      </c>
      <c r="J48" s="2" t="b">
        <f>Table1[[#This Row],[Login_Time]]&lt;Table1[[#This Row],[Logout_Time]]</f>
        <v>1</v>
      </c>
    </row>
    <row r="49" spans="1:10" ht="15" customHeight="1">
      <c r="A49" s="2" t="s">
        <v>109</v>
      </c>
      <c r="B49" s="3">
        <v>45743</v>
      </c>
      <c r="C49" s="2" t="s">
        <v>99</v>
      </c>
      <c r="D49" s="2" t="s">
        <v>42</v>
      </c>
      <c r="E49" s="15" t="s">
        <v>31</v>
      </c>
      <c r="F49" s="15" t="s">
        <v>110</v>
      </c>
      <c r="G49" s="2" t="s">
        <v>21</v>
      </c>
      <c r="H49" t="str">
        <f>_xlfn.CONCAT(Table1[[#This Row],[Attendance_ID]],Table1[[#This Row],[Date]],Table1[[#This Row],[Employee_ID]])</f>
        <v>ATT0022145743EMP1005</v>
      </c>
      <c r="I49" s="12" t="e">
        <f>VLOOKUP(Table1[[#This Row],[Employee_ID]],[1]!Table1[[Employee_ID]:[Employee_Name]],2,0)</f>
        <v>#REF!</v>
      </c>
      <c r="J49" s="2" t="b">
        <f>Table1[[#This Row],[Login_Time]]&lt;Table1[[#This Row],[Logout_Time]]</f>
        <v>1</v>
      </c>
    </row>
    <row r="50" spans="1:10" ht="15" customHeight="1">
      <c r="A50" s="2" t="s">
        <v>111</v>
      </c>
      <c r="B50" s="3">
        <v>45719</v>
      </c>
      <c r="C50" s="2" t="s">
        <v>99</v>
      </c>
      <c r="D50" s="2" t="s">
        <v>42</v>
      </c>
      <c r="E50" s="15" t="s">
        <v>28</v>
      </c>
      <c r="F50" s="15" t="s">
        <v>10</v>
      </c>
      <c r="G50" s="2" t="s">
        <v>21</v>
      </c>
      <c r="H50" t="str">
        <f>_xlfn.CONCAT(Table1[[#This Row],[Attendance_ID]],Table1[[#This Row],[Date]],Table1[[#This Row],[Employee_ID]])</f>
        <v>ATT0027145719EMP1005</v>
      </c>
      <c r="I50" s="12" t="e">
        <f>VLOOKUP(Table1[[#This Row],[Employee_ID]],[1]!Table1[[Employee_ID]:[Employee_Name]],2,0)</f>
        <v>#REF!</v>
      </c>
      <c r="J50" s="2" t="b">
        <f>Table1[[#This Row],[Login_Time]]&lt;Table1[[#This Row],[Logout_Time]]</f>
        <v>1</v>
      </c>
    </row>
    <row r="51" spans="1:10" ht="15" customHeight="1">
      <c r="A51" s="2" t="s">
        <v>112</v>
      </c>
      <c r="B51" s="3">
        <v>45690</v>
      </c>
      <c r="C51" s="2" t="s">
        <v>99</v>
      </c>
      <c r="D51" s="2" t="s">
        <v>9</v>
      </c>
      <c r="E51" s="15" t="s">
        <v>47</v>
      </c>
      <c r="F51" s="15" t="s">
        <v>113</v>
      </c>
      <c r="G51" s="2" t="s">
        <v>21</v>
      </c>
      <c r="H51" t="str">
        <f>_xlfn.CONCAT(Table1[[#This Row],[Attendance_ID]],Table1[[#This Row],[Date]],Table1[[#This Row],[Employee_ID]])</f>
        <v>ATT0032145690EMP1005</v>
      </c>
      <c r="I51" s="12" t="e">
        <f>VLOOKUP(Table1[[#This Row],[Employee_ID]],[1]!Table1[[Employee_ID]:[Employee_Name]],2,0)</f>
        <v>#REF!</v>
      </c>
      <c r="J51" s="2" t="b">
        <f>Table1[[#This Row],[Login_Time]]&lt;Table1[[#This Row],[Logout_Time]]</f>
        <v>1</v>
      </c>
    </row>
    <row r="52" spans="1:10" ht="15" customHeight="1">
      <c r="A52" s="2" t="s">
        <v>114</v>
      </c>
      <c r="B52" s="3">
        <v>45739</v>
      </c>
      <c r="C52" s="2" t="s">
        <v>99</v>
      </c>
      <c r="D52" s="2" t="s">
        <v>9</v>
      </c>
      <c r="E52" s="15" t="s">
        <v>115</v>
      </c>
      <c r="F52" s="15" t="s">
        <v>66</v>
      </c>
      <c r="G52" s="2" t="s">
        <v>21</v>
      </c>
      <c r="H52" t="str">
        <f>_xlfn.CONCAT(Table1[[#This Row],[Attendance_ID]],Table1[[#This Row],[Date]],Table1[[#This Row],[Employee_ID]])</f>
        <v>ATT0037145739EMP1005</v>
      </c>
      <c r="I52" s="12" t="e">
        <f>VLOOKUP(Table1[[#This Row],[Employee_ID]],[1]!Table1[[Employee_ID]:[Employee_Name]],2,0)</f>
        <v>#REF!</v>
      </c>
      <c r="J52" s="2" t="b">
        <f>Table1[[#This Row],[Login_Time]]&lt;Table1[[#This Row],[Logout_Time]]</f>
        <v>1</v>
      </c>
    </row>
    <row r="53" spans="1:10" ht="15" customHeight="1">
      <c r="A53" s="2" t="s">
        <v>116</v>
      </c>
      <c r="B53" s="3">
        <v>45660</v>
      </c>
      <c r="C53" s="2" t="s">
        <v>99</v>
      </c>
      <c r="D53" s="2" t="s">
        <v>42</v>
      </c>
      <c r="E53" s="15" t="s">
        <v>61</v>
      </c>
      <c r="F53" s="15" t="s">
        <v>75</v>
      </c>
      <c r="G53" s="2" t="s">
        <v>21</v>
      </c>
      <c r="H53" t="str">
        <f>_xlfn.CONCAT(Table1[[#This Row],[Attendance_ID]],Table1[[#This Row],[Date]],Table1[[#This Row],[Employee_ID]])</f>
        <v>ATT0042145660EMP1005</v>
      </c>
      <c r="I53" s="12" t="e">
        <f>VLOOKUP(Table1[[#This Row],[Employee_ID]],[1]!Table1[[Employee_ID]:[Employee_Name]],2,0)</f>
        <v>#REF!</v>
      </c>
      <c r="J53" s="2" t="b">
        <f>Table1[[#This Row],[Login_Time]]&lt;Table1[[#This Row],[Logout_Time]]</f>
        <v>1</v>
      </c>
    </row>
    <row r="54" spans="1:10" ht="15" hidden="1" customHeight="1">
      <c r="A54" s="2" t="s">
        <v>117</v>
      </c>
      <c r="B54" s="3">
        <v>45730</v>
      </c>
      <c r="C54" s="2" t="s">
        <v>99</v>
      </c>
      <c r="D54" s="2" t="s">
        <v>70</v>
      </c>
      <c r="E54" s="15"/>
      <c r="F54" s="15"/>
      <c r="G54" s="2" t="s">
        <v>11</v>
      </c>
      <c r="H54" t="str">
        <f>_xlfn.CONCAT(Table1[[#This Row],[Attendance_ID]],Table1[[#This Row],[Date]],Table1[[#This Row],[Employee_ID]])</f>
        <v>ATT0047145730EMP1005</v>
      </c>
      <c r="I54" s="12" t="e">
        <f>VLOOKUP(Table1[[#This Row],[Employee_ID]],[1]!Table1[[Employee_ID]:[Employee_Name]],2,0)</f>
        <v>#REF!</v>
      </c>
      <c r="J54" s="2" t="b">
        <f>Table1[[#This Row],[Login_Time]]&lt;Table1[[#This Row],[Logout_Time]]</f>
        <v>0</v>
      </c>
    </row>
    <row r="55" spans="1:10" ht="15" customHeight="1">
      <c r="A55" s="2" t="s">
        <v>118</v>
      </c>
      <c r="B55" s="3">
        <v>45679</v>
      </c>
      <c r="C55" s="2" t="s">
        <v>119</v>
      </c>
      <c r="D55" s="2" t="s">
        <v>42</v>
      </c>
      <c r="E55" s="15" t="s">
        <v>19</v>
      </c>
      <c r="F55" s="15" t="s">
        <v>32</v>
      </c>
      <c r="G55" s="2" t="s">
        <v>21</v>
      </c>
      <c r="H55" t="str">
        <f>_xlfn.CONCAT(Table1[[#This Row],[Attendance_ID]],Table1[[#This Row],[Date]],Table1[[#This Row],[Employee_ID]])</f>
        <v>ATT0002245679EMP1006</v>
      </c>
      <c r="I55" s="12" t="e">
        <f>VLOOKUP(Table1[[#This Row],[Employee_ID]],[1]!Table1[[Employee_ID]:[Employee_Name]],2,0)</f>
        <v>#REF!</v>
      </c>
      <c r="J55" s="2" t="b">
        <f>Table1[[#This Row],[Login_Time]]&lt;Table1[[#This Row],[Logout_Time]]</f>
        <v>1</v>
      </c>
    </row>
    <row r="56" spans="1:10" ht="15" hidden="1" customHeight="1">
      <c r="A56" s="2" t="s">
        <v>120</v>
      </c>
      <c r="B56" s="3">
        <v>45689</v>
      </c>
      <c r="C56" s="2" t="s">
        <v>119</v>
      </c>
      <c r="D56" s="2" t="s">
        <v>26</v>
      </c>
      <c r="E56" s="15"/>
      <c r="F56" s="15"/>
      <c r="G56" s="2" t="s">
        <v>11</v>
      </c>
      <c r="H56" t="str">
        <f>_xlfn.CONCAT(Table1[[#This Row],[Attendance_ID]],Table1[[#This Row],[Date]],Table1[[#This Row],[Employee_ID]])</f>
        <v>ATT0007245689EMP1006</v>
      </c>
      <c r="I56" s="12" t="e">
        <f>VLOOKUP(Table1[[#This Row],[Employee_ID]],[1]!Table1[[Employee_ID]:[Employee_Name]],2,0)</f>
        <v>#REF!</v>
      </c>
      <c r="J56" s="2" t="b">
        <f>Table1[[#This Row],[Login_Time]]&lt;Table1[[#This Row],[Logout_Time]]</f>
        <v>0</v>
      </c>
    </row>
    <row r="57" spans="1:10" ht="15" customHeight="1">
      <c r="A57" s="2" t="s">
        <v>121</v>
      </c>
      <c r="B57" s="3">
        <v>45686</v>
      </c>
      <c r="C57" s="2" t="s">
        <v>119</v>
      </c>
      <c r="D57" s="2" t="s">
        <v>9</v>
      </c>
      <c r="E57" s="15" t="s">
        <v>13</v>
      </c>
      <c r="F57" s="15" t="s">
        <v>122</v>
      </c>
      <c r="G57" s="2" t="s">
        <v>11</v>
      </c>
      <c r="H57" t="str">
        <f>_xlfn.CONCAT(Table1[[#This Row],[Attendance_ID]],Table1[[#This Row],[Date]],Table1[[#This Row],[Employee_ID]])</f>
        <v>ATT0012245686EMP1006</v>
      </c>
      <c r="I57" s="12" t="e">
        <f>VLOOKUP(Table1[[#This Row],[Employee_ID]],[1]!Table1[[Employee_ID]:[Employee_Name]],2,0)</f>
        <v>#REF!</v>
      </c>
      <c r="J57" s="2" t="b">
        <f>Table1[[#This Row],[Login_Time]]&lt;Table1[[#This Row],[Logout_Time]]</f>
        <v>1</v>
      </c>
    </row>
    <row r="58" spans="1:10" ht="15" hidden="1" customHeight="1">
      <c r="A58" s="2" t="s">
        <v>123</v>
      </c>
      <c r="B58" s="3">
        <v>45720</v>
      </c>
      <c r="C58" s="2" t="s">
        <v>119</v>
      </c>
      <c r="D58" s="2" t="s">
        <v>70</v>
      </c>
      <c r="E58" s="15"/>
      <c r="F58" s="15"/>
      <c r="G58" s="2" t="s">
        <v>11</v>
      </c>
      <c r="H58" t="str">
        <f>_xlfn.CONCAT(Table1[[#This Row],[Attendance_ID]],Table1[[#This Row],[Date]],Table1[[#This Row],[Employee_ID]])</f>
        <v>ATT0017245720EMP1006</v>
      </c>
      <c r="I58" s="12" t="e">
        <f>VLOOKUP(Table1[[#This Row],[Employee_ID]],[1]!Table1[[Employee_ID]:[Employee_Name]],2,0)</f>
        <v>#REF!</v>
      </c>
      <c r="J58" s="2" t="b">
        <f>Table1[[#This Row],[Login_Time]]&lt;Table1[[#This Row],[Logout_Time]]</f>
        <v>0</v>
      </c>
    </row>
    <row r="59" spans="1:10" ht="15" customHeight="1">
      <c r="A59" s="2" t="s">
        <v>124</v>
      </c>
      <c r="B59" s="3">
        <v>45729</v>
      </c>
      <c r="C59" s="2" t="s">
        <v>119</v>
      </c>
      <c r="D59" s="2" t="s">
        <v>42</v>
      </c>
      <c r="E59" s="15" t="s">
        <v>50</v>
      </c>
      <c r="F59" s="15" t="s">
        <v>37</v>
      </c>
      <c r="G59" s="2" t="s">
        <v>21</v>
      </c>
      <c r="H59" t="str">
        <f>_xlfn.CONCAT(Table1[[#This Row],[Attendance_ID]],Table1[[#This Row],[Date]],Table1[[#This Row],[Employee_ID]])</f>
        <v>ATT0022245729EMP1006</v>
      </c>
      <c r="I59" s="12" t="e">
        <f>VLOOKUP(Table1[[#This Row],[Employee_ID]],[1]!Table1[[Employee_ID]:[Employee_Name]],2,0)</f>
        <v>#REF!</v>
      </c>
      <c r="J59" s="2" t="b">
        <f>Table1[[#This Row],[Login_Time]]&lt;Table1[[#This Row],[Logout_Time]]</f>
        <v>1</v>
      </c>
    </row>
    <row r="60" spans="1:10" ht="15" customHeight="1">
      <c r="A60" s="2" t="s">
        <v>125</v>
      </c>
      <c r="B60" s="3">
        <v>45722</v>
      </c>
      <c r="C60" s="2" t="s">
        <v>119</v>
      </c>
      <c r="D60" s="2" t="s">
        <v>42</v>
      </c>
      <c r="E60" s="15" t="s">
        <v>59</v>
      </c>
      <c r="F60" s="15" t="s">
        <v>44</v>
      </c>
      <c r="G60" s="2" t="s">
        <v>21</v>
      </c>
      <c r="H60" t="str">
        <f>_xlfn.CONCAT(Table1[[#This Row],[Attendance_ID]],Table1[[#This Row],[Date]],Table1[[#This Row],[Employee_ID]])</f>
        <v>ATT0027245722EMP1006</v>
      </c>
      <c r="I60" s="12" t="e">
        <f>VLOOKUP(Table1[[#This Row],[Employee_ID]],[1]!Table1[[Employee_ID]:[Employee_Name]],2,0)</f>
        <v>#REF!</v>
      </c>
      <c r="J60" s="2" t="b">
        <f>Table1[[#This Row],[Login_Time]]&lt;Table1[[#This Row],[Logout_Time]]</f>
        <v>1</v>
      </c>
    </row>
    <row r="61" spans="1:10" ht="15" customHeight="1">
      <c r="A61" s="2" t="s">
        <v>126</v>
      </c>
      <c r="B61" s="3">
        <v>45679</v>
      </c>
      <c r="C61" s="2" t="s">
        <v>119</v>
      </c>
      <c r="D61" s="2" t="s">
        <v>42</v>
      </c>
      <c r="E61" s="15" t="s">
        <v>47</v>
      </c>
      <c r="F61" s="15" t="s">
        <v>127</v>
      </c>
      <c r="G61" s="2" t="s">
        <v>21</v>
      </c>
      <c r="H61" t="str">
        <f>_xlfn.CONCAT(Table1[[#This Row],[Attendance_ID]],Table1[[#This Row],[Date]],Table1[[#This Row],[Employee_ID]])</f>
        <v>ATT0032245679EMP1006</v>
      </c>
      <c r="I61" s="12" t="e">
        <f>VLOOKUP(Table1[[#This Row],[Employee_ID]],[1]!Table1[[Employee_ID]:[Employee_Name]],2,0)</f>
        <v>#REF!</v>
      </c>
      <c r="J61" s="2" t="b">
        <f>Table1[[#This Row],[Login_Time]]&lt;Table1[[#This Row],[Logout_Time]]</f>
        <v>1</v>
      </c>
    </row>
    <row r="62" spans="1:10" ht="15" customHeight="1">
      <c r="A62" s="2" t="s">
        <v>128</v>
      </c>
      <c r="B62" s="3">
        <v>45709</v>
      </c>
      <c r="C62" s="2" t="s">
        <v>119</v>
      </c>
      <c r="D62" s="2" t="s">
        <v>9</v>
      </c>
      <c r="E62" s="15" t="s">
        <v>89</v>
      </c>
      <c r="F62" s="15" t="s">
        <v>122</v>
      </c>
      <c r="G62" s="2" t="s">
        <v>21</v>
      </c>
      <c r="H62" t="str">
        <f>_xlfn.CONCAT(Table1[[#This Row],[Attendance_ID]],Table1[[#This Row],[Date]],Table1[[#This Row],[Employee_ID]])</f>
        <v>ATT0037245709EMP1006</v>
      </c>
      <c r="I62" s="12" t="e">
        <f>VLOOKUP(Table1[[#This Row],[Employee_ID]],[1]!Table1[[Employee_ID]:[Employee_Name]],2,0)</f>
        <v>#REF!</v>
      </c>
      <c r="J62" s="2" t="b">
        <f>Table1[[#This Row],[Login_Time]]&lt;Table1[[#This Row],[Logout_Time]]</f>
        <v>1</v>
      </c>
    </row>
    <row r="63" spans="1:10" ht="15" customHeight="1">
      <c r="A63" s="2" t="s">
        <v>129</v>
      </c>
      <c r="B63" s="3">
        <v>45696</v>
      </c>
      <c r="C63" s="2" t="s">
        <v>119</v>
      </c>
      <c r="D63" s="2" t="s">
        <v>9</v>
      </c>
      <c r="E63" s="15" t="s">
        <v>40</v>
      </c>
      <c r="F63" s="15" t="s">
        <v>32</v>
      </c>
      <c r="G63" s="2" t="s">
        <v>11</v>
      </c>
      <c r="H63" t="str">
        <f>_xlfn.CONCAT(Table1[[#This Row],[Attendance_ID]],Table1[[#This Row],[Date]],Table1[[#This Row],[Employee_ID]])</f>
        <v>ATT0042245696EMP1006</v>
      </c>
      <c r="I63" s="12" t="e">
        <f>VLOOKUP(Table1[[#This Row],[Employee_ID]],[1]!Table1[[Employee_ID]:[Employee_Name]],2,0)</f>
        <v>#REF!</v>
      </c>
      <c r="J63" s="2" t="b">
        <f>Table1[[#This Row],[Login_Time]]&lt;Table1[[#This Row],[Logout_Time]]</f>
        <v>1</v>
      </c>
    </row>
    <row r="64" spans="1:10" ht="15" customHeight="1">
      <c r="A64" s="2" t="s">
        <v>130</v>
      </c>
      <c r="B64" s="3">
        <v>45664</v>
      </c>
      <c r="C64" s="2" t="s">
        <v>119</v>
      </c>
      <c r="D64" s="2" t="s">
        <v>9</v>
      </c>
      <c r="E64" s="15" t="s">
        <v>34</v>
      </c>
      <c r="F64" s="15" t="s">
        <v>37</v>
      </c>
      <c r="G64" s="2" t="s">
        <v>21</v>
      </c>
      <c r="H64" t="str">
        <f>_xlfn.CONCAT(Table1[[#This Row],[Attendance_ID]],Table1[[#This Row],[Date]],Table1[[#This Row],[Employee_ID]])</f>
        <v>ATT0047245664EMP1006</v>
      </c>
      <c r="I64" s="12" t="e">
        <f>VLOOKUP(Table1[[#This Row],[Employee_ID]],[1]!Table1[[Employee_ID]:[Employee_Name]],2,0)</f>
        <v>#REF!</v>
      </c>
      <c r="J64" s="2" t="b">
        <f>Table1[[#This Row],[Login_Time]]&lt;Table1[[#This Row],[Logout_Time]]</f>
        <v>1</v>
      </c>
    </row>
    <row r="65" spans="1:10" ht="15" customHeight="1">
      <c r="A65" s="2" t="s">
        <v>131</v>
      </c>
      <c r="B65" s="3">
        <v>45732</v>
      </c>
      <c r="C65" s="2" t="s">
        <v>132</v>
      </c>
      <c r="D65" s="2" t="s">
        <v>42</v>
      </c>
      <c r="E65" s="15" t="s">
        <v>105</v>
      </c>
      <c r="F65" s="15" t="s">
        <v>29</v>
      </c>
      <c r="G65" s="2" t="s">
        <v>21</v>
      </c>
      <c r="H65" t="str">
        <f>_xlfn.CONCAT(Table1[[#This Row],[Attendance_ID]],Table1[[#This Row],[Date]],Table1[[#This Row],[Employee_ID]])</f>
        <v>ATT0002345732EMP1007</v>
      </c>
      <c r="I65" s="12" t="e">
        <f>VLOOKUP(Table1[[#This Row],[Employee_ID]],[1]!Table1[[Employee_ID]:[Employee_Name]],2,0)</f>
        <v>#REF!</v>
      </c>
      <c r="J65" s="2" t="b">
        <f>Table1[[#This Row],[Login_Time]]&lt;Table1[[#This Row],[Logout_Time]]</f>
        <v>1</v>
      </c>
    </row>
    <row r="66" spans="1:10" ht="15" customHeight="1">
      <c r="A66" s="2" t="s">
        <v>133</v>
      </c>
      <c r="B66" s="3">
        <v>45692</v>
      </c>
      <c r="C66" s="2" t="s">
        <v>132</v>
      </c>
      <c r="D66" s="2" t="s">
        <v>9</v>
      </c>
      <c r="E66" s="15" t="s">
        <v>16</v>
      </c>
      <c r="F66" s="15" t="s">
        <v>68</v>
      </c>
      <c r="G66" s="2" t="s">
        <v>11</v>
      </c>
      <c r="H66" t="str">
        <f>_xlfn.CONCAT(Table1[[#This Row],[Attendance_ID]],Table1[[#This Row],[Date]],Table1[[#This Row],[Employee_ID]])</f>
        <v>ATT0007345692EMP1007</v>
      </c>
      <c r="I66" s="12" t="e">
        <f>VLOOKUP(Table1[[#This Row],[Employee_ID]],[1]!Table1[[Employee_ID]:[Employee_Name]],2,0)</f>
        <v>#REF!</v>
      </c>
      <c r="J66" s="2" t="b">
        <f>Table1[[#This Row],[Login_Time]]&lt;Table1[[#This Row],[Logout_Time]]</f>
        <v>1</v>
      </c>
    </row>
    <row r="67" spans="1:10" ht="15" customHeight="1">
      <c r="A67" s="2" t="s">
        <v>134</v>
      </c>
      <c r="B67" s="3">
        <v>45703</v>
      </c>
      <c r="C67" s="2" t="s">
        <v>132</v>
      </c>
      <c r="D67" s="2" t="s">
        <v>42</v>
      </c>
      <c r="E67" s="15" t="s">
        <v>28</v>
      </c>
      <c r="F67" s="15" t="s">
        <v>24</v>
      </c>
      <c r="G67" s="2" t="s">
        <v>21</v>
      </c>
      <c r="H67" t="str">
        <f>_xlfn.CONCAT(Table1[[#This Row],[Attendance_ID]],Table1[[#This Row],[Date]],Table1[[#This Row],[Employee_ID]])</f>
        <v>ATT0012345703EMP1007</v>
      </c>
      <c r="I67" s="12" t="e">
        <f>VLOOKUP(Table1[[#This Row],[Employee_ID]],[1]!Table1[[Employee_ID]:[Employee_Name]],2,0)</f>
        <v>#REF!</v>
      </c>
      <c r="J67" s="2" t="b">
        <f>Table1[[#This Row],[Login_Time]]&lt;Table1[[#This Row],[Logout_Time]]</f>
        <v>1</v>
      </c>
    </row>
    <row r="68" spans="1:10" ht="15" customHeight="1">
      <c r="A68" s="2" t="s">
        <v>135</v>
      </c>
      <c r="B68" s="3">
        <v>45708</v>
      </c>
      <c r="C68" s="2" t="s">
        <v>132</v>
      </c>
      <c r="D68" s="2" t="s">
        <v>9</v>
      </c>
      <c r="E68" s="15" t="s">
        <v>136</v>
      </c>
      <c r="F68" s="15" t="s">
        <v>55</v>
      </c>
      <c r="G68" s="2" t="s">
        <v>21</v>
      </c>
      <c r="H68" t="str">
        <f>_xlfn.CONCAT(Table1[[#This Row],[Attendance_ID]],Table1[[#This Row],[Date]],Table1[[#This Row],[Employee_ID]])</f>
        <v>ATT0017345708EMP1007</v>
      </c>
      <c r="I68" s="12" t="e">
        <f>VLOOKUP(Table1[[#This Row],[Employee_ID]],[1]!Table1[[Employee_ID]:[Employee_Name]],2,0)</f>
        <v>#REF!</v>
      </c>
      <c r="J68" s="2" t="b">
        <f>Table1[[#This Row],[Login_Time]]&lt;Table1[[#This Row],[Logout_Time]]</f>
        <v>1</v>
      </c>
    </row>
    <row r="69" spans="1:10" ht="15" customHeight="1">
      <c r="A69" s="2" t="s">
        <v>137</v>
      </c>
      <c r="B69" s="3">
        <v>45723</v>
      </c>
      <c r="C69" s="2" t="s">
        <v>132</v>
      </c>
      <c r="D69" s="2" t="s">
        <v>9</v>
      </c>
      <c r="E69" s="15" t="s">
        <v>136</v>
      </c>
      <c r="F69" s="15" t="s">
        <v>55</v>
      </c>
      <c r="G69" s="2" t="s">
        <v>21</v>
      </c>
      <c r="H69" t="str">
        <f>_xlfn.CONCAT(Table1[[#This Row],[Attendance_ID]],Table1[[#This Row],[Date]],Table1[[#This Row],[Employee_ID]])</f>
        <v>ATT0022345723EMP1007</v>
      </c>
      <c r="I69" s="12" t="e">
        <f>VLOOKUP(Table1[[#This Row],[Employee_ID]],[1]!Table1[[Employee_ID]:[Employee_Name]],2,0)</f>
        <v>#REF!</v>
      </c>
      <c r="J69" s="2" t="b">
        <f>Table1[[#This Row],[Login_Time]]&lt;Table1[[#This Row],[Logout_Time]]</f>
        <v>1</v>
      </c>
    </row>
    <row r="70" spans="1:10" ht="15" customHeight="1">
      <c r="A70" s="2" t="s">
        <v>138</v>
      </c>
      <c r="B70" s="3">
        <v>45701</v>
      </c>
      <c r="C70" s="2" t="s">
        <v>132</v>
      </c>
      <c r="D70" s="2" t="s">
        <v>9</v>
      </c>
      <c r="E70" s="15" t="s">
        <v>23</v>
      </c>
      <c r="F70" s="15" t="s">
        <v>51</v>
      </c>
      <c r="G70" s="2" t="s">
        <v>11</v>
      </c>
      <c r="H70" t="str">
        <f>_xlfn.CONCAT(Table1[[#This Row],[Attendance_ID]],Table1[[#This Row],[Date]],Table1[[#This Row],[Employee_ID]])</f>
        <v>ATT0027345701EMP1007</v>
      </c>
      <c r="I70" s="12" t="e">
        <f>VLOOKUP(Table1[[#This Row],[Employee_ID]],[1]!Table1[[Employee_ID]:[Employee_Name]],2,0)</f>
        <v>#REF!</v>
      </c>
      <c r="J70" s="2" t="b">
        <f>Table1[[#This Row],[Login_Time]]&lt;Table1[[#This Row],[Logout_Time]]</f>
        <v>1</v>
      </c>
    </row>
    <row r="71" spans="1:10" ht="15" hidden="1" customHeight="1">
      <c r="A71" s="2" t="s">
        <v>139</v>
      </c>
      <c r="B71" s="3">
        <v>45733</v>
      </c>
      <c r="C71" s="2" t="s">
        <v>132</v>
      </c>
      <c r="D71" s="2" t="s">
        <v>26</v>
      </c>
      <c r="E71" s="15"/>
      <c r="F71" s="15"/>
      <c r="G71" s="2" t="s">
        <v>11</v>
      </c>
      <c r="H71" t="str">
        <f>_xlfn.CONCAT(Table1[[#This Row],[Attendance_ID]],Table1[[#This Row],[Date]],Table1[[#This Row],[Employee_ID]])</f>
        <v>ATT0032345733EMP1007</v>
      </c>
      <c r="I71" s="12" t="e">
        <f>VLOOKUP(Table1[[#This Row],[Employee_ID]],[1]!Table1[[Employee_ID]:[Employee_Name]],2,0)</f>
        <v>#REF!</v>
      </c>
      <c r="J71" s="2" t="b">
        <f>Table1[[#This Row],[Login_Time]]&lt;Table1[[#This Row],[Logout_Time]]</f>
        <v>0</v>
      </c>
    </row>
    <row r="72" spans="1:10" ht="15" customHeight="1">
      <c r="A72" s="2" t="s">
        <v>140</v>
      </c>
      <c r="B72" s="3">
        <v>45729</v>
      </c>
      <c r="C72" s="2" t="s">
        <v>132</v>
      </c>
      <c r="D72" s="2" t="s">
        <v>42</v>
      </c>
      <c r="E72" s="15" t="s">
        <v>50</v>
      </c>
      <c r="F72" s="15" t="s">
        <v>24</v>
      </c>
      <c r="G72" s="2" t="s">
        <v>21</v>
      </c>
      <c r="H72" t="str">
        <f>_xlfn.CONCAT(Table1[[#This Row],[Attendance_ID]],Table1[[#This Row],[Date]],Table1[[#This Row],[Employee_ID]])</f>
        <v>ATT0037345729EMP1007</v>
      </c>
      <c r="I72" s="12" t="e">
        <f>VLOOKUP(Table1[[#This Row],[Employee_ID]],[1]!Table1[[Employee_ID]:[Employee_Name]],2,0)</f>
        <v>#REF!</v>
      </c>
      <c r="J72" s="2" t="b">
        <f>Table1[[#This Row],[Login_Time]]&lt;Table1[[#This Row],[Logout_Time]]</f>
        <v>1</v>
      </c>
    </row>
    <row r="73" spans="1:10" ht="15" customHeight="1">
      <c r="A73" s="2" t="s">
        <v>141</v>
      </c>
      <c r="B73" s="3">
        <v>45663</v>
      </c>
      <c r="C73" s="2" t="s">
        <v>132</v>
      </c>
      <c r="D73" s="2" t="s">
        <v>9</v>
      </c>
      <c r="E73" s="15" t="s">
        <v>105</v>
      </c>
      <c r="F73" s="15" t="s">
        <v>29</v>
      </c>
      <c r="G73" s="2" t="s">
        <v>21</v>
      </c>
      <c r="H73" t="str">
        <f>_xlfn.CONCAT(Table1[[#This Row],[Attendance_ID]],Table1[[#This Row],[Date]],Table1[[#This Row],[Employee_ID]])</f>
        <v>ATT0042345663EMP1007</v>
      </c>
      <c r="I73" s="12" t="e">
        <f>VLOOKUP(Table1[[#This Row],[Employee_ID]],[1]!Table1[[Employee_ID]:[Employee_Name]],2,0)</f>
        <v>#REF!</v>
      </c>
      <c r="J73" s="2" t="b">
        <f>Table1[[#This Row],[Login_Time]]&lt;Table1[[#This Row],[Logout_Time]]</f>
        <v>1</v>
      </c>
    </row>
    <row r="74" spans="1:10" ht="15" customHeight="1">
      <c r="A74" s="2" t="s">
        <v>142</v>
      </c>
      <c r="B74" s="3">
        <v>45713</v>
      </c>
      <c r="C74" s="2" t="s">
        <v>132</v>
      </c>
      <c r="D74" s="2" t="s">
        <v>9</v>
      </c>
      <c r="E74" s="15" t="s">
        <v>53</v>
      </c>
      <c r="F74" s="15" t="s">
        <v>66</v>
      </c>
      <c r="G74" s="2" t="s">
        <v>11</v>
      </c>
      <c r="H74" t="str">
        <f>_xlfn.CONCAT(Table1[[#This Row],[Attendance_ID]],Table1[[#This Row],[Date]],Table1[[#This Row],[Employee_ID]])</f>
        <v>ATT0047345713EMP1007</v>
      </c>
      <c r="I74" s="12" t="e">
        <f>VLOOKUP(Table1[[#This Row],[Employee_ID]],[1]!Table1[[Employee_ID]:[Employee_Name]],2,0)</f>
        <v>#REF!</v>
      </c>
      <c r="J74" s="2" t="b">
        <f>Table1[[#This Row],[Login_Time]]&lt;Table1[[#This Row],[Logout_Time]]</f>
        <v>1</v>
      </c>
    </row>
    <row r="75" spans="1:10" ht="15" hidden="1" customHeight="1">
      <c r="A75" s="2" t="s">
        <v>143</v>
      </c>
      <c r="B75" s="3">
        <v>45700</v>
      </c>
      <c r="C75" s="2" t="s">
        <v>144</v>
      </c>
      <c r="D75" s="2" t="s">
        <v>26</v>
      </c>
      <c r="E75" s="15"/>
      <c r="F75" s="15"/>
      <c r="G75" s="2" t="s">
        <v>11</v>
      </c>
      <c r="H75" t="str">
        <f>_xlfn.CONCAT(Table1[[#This Row],[Attendance_ID]],Table1[[#This Row],[Date]],Table1[[#This Row],[Employee_ID]])</f>
        <v>ATT0002445700EMP1008</v>
      </c>
      <c r="I75" s="12" t="e">
        <f>VLOOKUP(Table1[[#This Row],[Employee_ID]],[1]!Table1[[Employee_ID]:[Employee_Name]],2,0)</f>
        <v>#REF!</v>
      </c>
      <c r="J75" s="2" t="b">
        <f>Table1[[#This Row],[Login_Time]]&lt;Table1[[#This Row],[Logout_Time]]</f>
        <v>0</v>
      </c>
    </row>
    <row r="76" spans="1:10" ht="15" customHeight="1">
      <c r="A76" s="2" t="s">
        <v>145</v>
      </c>
      <c r="B76" s="3">
        <v>45730</v>
      </c>
      <c r="C76" s="2" t="s">
        <v>144</v>
      </c>
      <c r="D76" s="2" t="s">
        <v>9</v>
      </c>
      <c r="E76" s="15" t="s">
        <v>50</v>
      </c>
      <c r="F76" s="15" t="s">
        <v>72</v>
      </c>
      <c r="G76" s="2" t="s">
        <v>21</v>
      </c>
      <c r="H76" t="str">
        <f>_xlfn.CONCAT(Table1[[#This Row],[Attendance_ID]],Table1[[#This Row],[Date]],Table1[[#This Row],[Employee_ID]])</f>
        <v>ATT0007445730EMP1008</v>
      </c>
      <c r="I76" s="12" t="e">
        <f>VLOOKUP(Table1[[#This Row],[Employee_ID]],[1]!Table1[[Employee_ID]:[Employee_Name]],2,0)</f>
        <v>#REF!</v>
      </c>
      <c r="J76" s="2" t="b">
        <f>Table1[[#This Row],[Login_Time]]&lt;Table1[[#This Row],[Logout_Time]]</f>
        <v>1</v>
      </c>
    </row>
    <row r="77" spans="1:10" ht="15" customHeight="1">
      <c r="A77" s="2" t="s">
        <v>146</v>
      </c>
      <c r="B77" s="3">
        <v>45740</v>
      </c>
      <c r="C77" s="2" t="s">
        <v>144</v>
      </c>
      <c r="D77" s="2" t="s">
        <v>9</v>
      </c>
      <c r="E77" s="15" t="s">
        <v>105</v>
      </c>
      <c r="F77" s="15" t="s">
        <v>20</v>
      </c>
      <c r="G77" s="2" t="s">
        <v>21</v>
      </c>
      <c r="H77" t="str">
        <f>_xlfn.CONCAT(Table1[[#This Row],[Attendance_ID]],Table1[[#This Row],[Date]],Table1[[#This Row],[Employee_ID]])</f>
        <v>ATT0012445740EMP1008</v>
      </c>
      <c r="I77" s="12" t="e">
        <f>VLOOKUP(Table1[[#This Row],[Employee_ID]],[1]!Table1[[Employee_ID]:[Employee_Name]],2,0)</f>
        <v>#REF!</v>
      </c>
      <c r="J77" s="2" t="b">
        <f>Table1[[#This Row],[Login_Time]]&lt;Table1[[#This Row],[Logout_Time]]</f>
        <v>1</v>
      </c>
    </row>
    <row r="78" spans="1:10" ht="15" customHeight="1">
      <c r="A78" s="2" t="s">
        <v>147</v>
      </c>
      <c r="B78" s="3">
        <v>45692</v>
      </c>
      <c r="C78" s="2" t="s">
        <v>144</v>
      </c>
      <c r="D78" s="2" t="s">
        <v>9</v>
      </c>
      <c r="E78" s="15" t="s">
        <v>108</v>
      </c>
      <c r="F78" s="15" t="s">
        <v>72</v>
      </c>
      <c r="G78" s="2" t="s">
        <v>11</v>
      </c>
      <c r="H78" t="str">
        <f>_xlfn.CONCAT(Table1[[#This Row],[Attendance_ID]],Table1[[#This Row],[Date]],Table1[[#This Row],[Employee_ID]])</f>
        <v>ATT0017445692EMP1008</v>
      </c>
      <c r="I78" s="12" t="e">
        <f>VLOOKUP(Table1[[#This Row],[Employee_ID]],[1]!Table1[[Employee_ID]:[Employee_Name]],2,0)</f>
        <v>#REF!</v>
      </c>
      <c r="J78" s="2" t="b">
        <f>Table1[[#This Row],[Login_Time]]&lt;Table1[[#This Row],[Logout_Time]]</f>
        <v>1</v>
      </c>
    </row>
    <row r="79" spans="1:10" ht="15" customHeight="1">
      <c r="A79" s="2" t="s">
        <v>148</v>
      </c>
      <c r="B79" s="3">
        <v>45712</v>
      </c>
      <c r="C79" s="2" t="s">
        <v>144</v>
      </c>
      <c r="D79" s="2" t="s">
        <v>9</v>
      </c>
      <c r="E79" s="15" t="s">
        <v>149</v>
      </c>
      <c r="F79" s="15" t="s">
        <v>20</v>
      </c>
      <c r="G79" s="2" t="s">
        <v>21</v>
      </c>
      <c r="H79" t="str">
        <f>_xlfn.CONCAT(Table1[[#This Row],[Attendance_ID]],Table1[[#This Row],[Date]],Table1[[#This Row],[Employee_ID]])</f>
        <v>ATT0022445712EMP1008</v>
      </c>
      <c r="I79" s="12" t="e">
        <f>VLOOKUP(Table1[[#This Row],[Employee_ID]],[1]!Table1[[Employee_ID]:[Employee_Name]],2,0)</f>
        <v>#REF!</v>
      </c>
      <c r="J79" s="2" t="b">
        <f>Table1[[#This Row],[Login_Time]]&lt;Table1[[#This Row],[Logout_Time]]</f>
        <v>1</v>
      </c>
    </row>
    <row r="80" spans="1:10" ht="15" customHeight="1">
      <c r="A80" s="2" t="s">
        <v>150</v>
      </c>
      <c r="B80" s="3">
        <v>45694</v>
      </c>
      <c r="C80" s="2" t="s">
        <v>144</v>
      </c>
      <c r="D80" s="2" t="s">
        <v>42</v>
      </c>
      <c r="E80" s="15" t="s">
        <v>47</v>
      </c>
      <c r="F80" s="15" t="s">
        <v>113</v>
      </c>
      <c r="G80" s="2" t="s">
        <v>21</v>
      </c>
      <c r="H80" t="str">
        <f>_xlfn.CONCAT(Table1[[#This Row],[Attendance_ID]],Table1[[#This Row],[Date]],Table1[[#This Row],[Employee_ID]])</f>
        <v>ATT0027445694EMP1008</v>
      </c>
      <c r="I80" s="12" t="e">
        <f>VLOOKUP(Table1[[#This Row],[Employee_ID]],[1]!Table1[[Employee_ID]:[Employee_Name]],2,0)</f>
        <v>#REF!</v>
      </c>
      <c r="J80" s="2" t="b">
        <f>Table1[[#This Row],[Login_Time]]&lt;Table1[[#This Row],[Logout_Time]]</f>
        <v>1</v>
      </c>
    </row>
    <row r="81" spans="1:10" ht="15" hidden="1" customHeight="1">
      <c r="A81" s="2" t="s">
        <v>151</v>
      </c>
      <c r="B81" s="3">
        <v>45730</v>
      </c>
      <c r="C81" s="2" t="s">
        <v>144</v>
      </c>
      <c r="D81" s="2" t="s">
        <v>26</v>
      </c>
      <c r="E81" s="15"/>
      <c r="F81" s="15"/>
      <c r="G81" s="2" t="s">
        <v>11</v>
      </c>
      <c r="H81" t="str">
        <f>_xlfn.CONCAT(Table1[[#This Row],[Attendance_ID]],Table1[[#This Row],[Date]],Table1[[#This Row],[Employee_ID]])</f>
        <v>ATT0032445730EMP1008</v>
      </c>
      <c r="I81" s="12" t="e">
        <f>VLOOKUP(Table1[[#This Row],[Employee_ID]],[1]!Table1[[Employee_ID]:[Employee_Name]],2,0)</f>
        <v>#REF!</v>
      </c>
      <c r="J81" s="2" t="b">
        <f>Table1[[#This Row],[Login_Time]]&lt;Table1[[#This Row],[Logout_Time]]</f>
        <v>0</v>
      </c>
    </row>
    <row r="82" spans="1:10" ht="15" customHeight="1">
      <c r="A82" s="2" t="s">
        <v>152</v>
      </c>
      <c r="B82" s="3">
        <v>45720</v>
      </c>
      <c r="C82" s="2" t="s">
        <v>144</v>
      </c>
      <c r="D82" s="2" t="s">
        <v>42</v>
      </c>
      <c r="E82" s="15" t="s">
        <v>34</v>
      </c>
      <c r="F82" s="15" t="s">
        <v>66</v>
      </c>
      <c r="G82" s="2" t="s">
        <v>21</v>
      </c>
      <c r="H82" t="str">
        <f>_xlfn.CONCAT(Table1[[#This Row],[Attendance_ID]],Table1[[#This Row],[Date]],Table1[[#This Row],[Employee_ID]])</f>
        <v>ATT0037445720EMP1008</v>
      </c>
      <c r="I82" s="12" t="e">
        <f>VLOOKUP(Table1[[#This Row],[Employee_ID]],[1]!Table1[[Employee_ID]:[Employee_Name]],2,0)</f>
        <v>#REF!</v>
      </c>
      <c r="J82" s="2" t="b">
        <f>Table1[[#This Row],[Login_Time]]&lt;Table1[[#This Row],[Logout_Time]]</f>
        <v>1</v>
      </c>
    </row>
    <row r="83" spans="1:10" ht="15" customHeight="1">
      <c r="A83" s="2" t="s">
        <v>153</v>
      </c>
      <c r="B83" s="3">
        <v>45736</v>
      </c>
      <c r="C83" s="2" t="s">
        <v>144</v>
      </c>
      <c r="D83" s="2" t="s">
        <v>9</v>
      </c>
      <c r="E83" s="15" t="s">
        <v>31</v>
      </c>
      <c r="F83" s="15" t="s">
        <v>154</v>
      </c>
      <c r="G83" s="2" t="s">
        <v>21</v>
      </c>
      <c r="H83" t="str">
        <f>_xlfn.CONCAT(Table1[[#This Row],[Attendance_ID]],Table1[[#This Row],[Date]],Table1[[#This Row],[Employee_ID]])</f>
        <v>ATT0042445736EMP1008</v>
      </c>
      <c r="I83" s="12" t="e">
        <f>VLOOKUP(Table1[[#This Row],[Employee_ID]],[1]!Table1[[Employee_ID]:[Employee_Name]],2,0)</f>
        <v>#REF!</v>
      </c>
      <c r="J83" s="2" t="b">
        <f>Table1[[#This Row],[Login_Time]]&lt;Table1[[#This Row],[Logout_Time]]</f>
        <v>1</v>
      </c>
    </row>
    <row r="84" spans="1:10" ht="15" customHeight="1">
      <c r="A84" s="2" t="s">
        <v>155</v>
      </c>
      <c r="B84" s="3">
        <v>45719</v>
      </c>
      <c r="C84" s="2" t="s">
        <v>144</v>
      </c>
      <c r="D84" s="2" t="s">
        <v>9</v>
      </c>
      <c r="E84" s="15" t="s">
        <v>16</v>
      </c>
      <c r="F84" s="15" t="s">
        <v>17</v>
      </c>
      <c r="G84" s="2" t="s">
        <v>11</v>
      </c>
      <c r="H84" t="str">
        <f>_xlfn.CONCAT(Table1[[#This Row],[Attendance_ID]],Table1[[#This Row],[Date]],Table1[[#This Row],[Employee_ID]])</f>
        <v>ATT0047445719EMP1008</v>
      </c>
      <c r="I84" s="12" t="e">
        <f>VLOOKUP(Table1[[#This Row],[Employee_ID]],[1]!Table1[[Employee_ID]:[Employee_Name]],2,0)</f>
        <v>#REF!</v>
      </c>
      <c r="J84" s="2" t="b">
        <f>Table1[[#This Row],[Login_Time]]&lt;Table1[[#This Row],[Logout_Time]]</f>
        <v>1</v>
      </c>
    </row>
    <row r="85" spans="1:10" ht="15" customHeight="1">
      <c r="A85" s="2" t="s">
        <v>156</v>
      </c>
      <c r="B85" s="3">
        <v>45743</v>
      </c>
      <c r="C85" s="2" t="s">
        <v>157</v>
      </c>
      <c r="D85" s="2" t="s">
        <v>9</v>
      </c>
      <c r="E85" s="15" t="s">
        <v>158</v>
      </c>
      <c r="F85" s="15" t="s">
        <v>154</v>
      </c>
      <c r="G85" s="2" t="s">
        <v>11</v>
      </c>
      <c r="H85" t="str">
        <f>_xlfn.CONCAT(Table1[[#This Row],[Attendance_ID]],Table1[[#This Row],[Date]],Table1[[#This Row],[Employee_ID]])</f>
        <v>ATT0002545743EMP1009</v>
      </c>
      <c r="I85" s="12" t="e">
        <f>VLOOKUP(Table1[[#This Row],[Employee_ID]],[1]!Table1[[Employee_ID]:[Employee_Name]],2,0)</f>
        <v>#REF!</v>
      </c>
      <c r="J85" s="2" t="b">
        <f>Table1[[#This Row],[Login_Time]]&lt;Table1[[#This Row],[Logout_Time]]</f>
        <v>1</v>
      </c>
    </row>
    <row r="86" spans="1:10" ht="15" customHeight="1">
      <c r="A86" s="2" t="s">
        <v>159</v>
      </c>
      <c r="B86" s="3">
        <v>45743</v>
      </c>
      <c r="C86" s="2" t="s">
        <v>157</v>
      </c>
      <c r="D86" s="2" t="s">
        <v>9</v>
      </c>
      <c r="E86" s="15" t="s">
        <v>149</v>
      </c>
      <c r="F86" s="15" t="s">
        <v>92</v>
      </c>
      <c r="G86" s="2" t="s">
        <v>21</v>
      </c>
      <c r="H86" t="str">
        <f>_xlfn.CONCAT(Table1[[#This Row],[Attendance_ID]],Table1[[#This Row],[Date]],Table1[[#This Row],[Employee_ID]])</f>
        <v>ATT0007545743EMP1009</v>
      </c>
      <c r="I86" s="12" t="e">
        <f>VLOOKUP(Table1[[#This Row],[Employee_ID]],[1]!Table1[[Employee_ID]:[Employee_Name]],2,0)</f>
        <v>#REF!</v>
      </c>
      <c r="J86" s="2" t="b">
        <f>Table1[[#This Row],[Login_Time]]&lt;Table1[[#This Row],[Logout_Time]]</f>
        <v>1</v>
      </c>
    </row>
    <row r="87" spans="1:10" ht="15" customHeight="1">
      <c r="A87" s="2" t="s">
        <v>160</v>
      </c>
      <c r="B87" s="3">
        <v>45667</v>
      </c>
      <c r="C87" s="2" t="s">
        <v>157</v>
      </c>
      <c r="D87" s="2" t="s">
        <v>9</v>
      </c>
      <c r="E87" s="15" t="s">
        <v>47</v>
      </c>
      <c r="F87" s="15" t="s">
        <v>96</v>
      </c>
      <c r="G87" s="2" t="s">
        <v>21</v>
      </c>
      <c r="H87" t="str">
        <f>_xlfn.CONCAT(Table1[[#This Row],[Attendance_ID]],Table1[[#This Row],[Date]],Table1[[#This Row],[Employee_ID]])</f>
        <v>ATT0012545667EMP1009</v>
      </c>
      <c r="I87" s="12" t="e">
        <f>VLOOKUP(Table1[[#This Row],[Employee_ID]],[1]!Table1[[Employee_ID]:[Employee_Name]],2,0)</f>
        <v>#REF!</v>
      </c>
      <c r="J87" s="2" t="b">
        <f>Table1[[#This Row],[Login_Time]]&lt;Table1[[#This Row],[Logout_Time]]</f>
        <v>1</v>
      </c>
    </row>
    <row r="88" spans="1:10" ht="15" customHeight="1">
      <c r="A88" s="2" t="s">
        <v>161</v>
      </c>
      <c r="B88" s="3">
        <v>45735</v>
      </c>
      <c r="C88" s="2" t="s">
        <v>157</v>
      </c>
      <c r="D88" s="2" t="s">
        <v>42</v>
      </c>
      <c r="E88" s="15" t="s">
        <v>16</v>
      </c>
      <c r="F88" s="15" t="s">
        <v>106</v>
      </c>
      <c r="G88" s="2" t="s">
        <v>11</v>
      </c>
      <c r="H88" t="str">
        <f>_xlfn.CONCAT(Table1[[#This Row],[Attendance_ID]],Table1[[#This Row],[Date]],Table1[[#This Row],[Employee_ID]])</f>
        <v>ATT0017545735EMP1009</v>
      </c>
      <c r="I88" s="12" t="e">
        <f>VLOOKUP(Table1[[#This Row],[Employee_ID]],[1]!Table1[[Employee_ID]:[Employee_Name]],2,0)</f>
        <v>#REF!</v>
      </c>
      <c r="J88" s="2" t="b">
        <f>Table1[[#This Row],[Login_Time]]&lt;Table1[[#This Row],[Logout_Time]]</f>
        <v>1</v>
      </c>
    </row>
    <row r="89" spans="1:10" ht="15" hidden="1" customHeight="1">
      <c r="A89" s="2" t="s">
        <v>162</v>
      </c>
      <c r="B89" s="3">
        <v>45742</v>
      </c>
      <c r="C89" s="2" t="s">
        <v>157</v>
      </c>
      <c r="D89" s="2" t="s">
        <v>26</v>
      </c>
      <c r="E89" s="15"/>
      <c r="F89" s="15"/>
      <c r="G89" s="2" t="s">
        <v>11</v>
      </c>
      <c r="H89" t="str">
        <f>_xlfn.CONCAT(Table1[[#This Row],[Attendance_ID]],Table1[[#This Row],[Date]],Table1[[#This Row],[Employee_ID]])</f>
        <v>ATT0022545742EMP1009</v>
      </c>
      <c r="I89" s="12" t="e">
        <f>VLOOKUP(Table1[[#This Row],[Employee_ID]],[1]!Table1[[Employee_ID]:[Employee_Name]],2,0)</f>
        <v>#REF!</v>
      </c>
      <c r="J89" s="2" t="b">
        <f>Table1[[#This Row],[Login_Time]]&lt;Table1[[#This Row],[Logout_Time]]</f>
        <v>0</v>
      </c>
    </row>
    <row r="90" spans="1:10" ht="15" customHeight="1">
      <c r="A90" s="2" t="s">
        <v>163</v>
      </c>
      <c r="B90" s="3">
        <v>45737</v>
      </c>
      <c r="C90" s="2" t="s">
        <v>157</v>
      </c>
      <c r="D90" s="2" t="s">
        <v>9</v>
      </c>
      <c r="E90" s="15" t="s">
        <v>100</v>
      </c>
      <c r="F90" s="15" t="s">
        <v>113</v>
      </c>
      <c r="G90" s="2" t="s">
        <v>11</v>
      </c>
      <c r="H90" t="str">
        <f>_xlfn.CONCAT(Table1[[#This Row],[Attendance_ID]],Table1[[#This Row],[Date]],Table1[[#This Row],[Employee_ID]])</f>
        <v>ATT0027545737EMP1009</v>
      </c>
      <c r="I90" s="12" t="e">
        <f>VLOOKUP(Table1[[#This Row],[Employee_ID]],[1]!Table1[[Employee_ID]:[Employee_Name]],2,0)</f>
        <v>#REF!</v>
      </c>
      <c r="J90" s="2" t="b">
        <f>Table1[[#This Row],[Login_Time]]&lt;Table1[[#This Row],[Logout_Time]]</f>
        <v>1</v>
      </c>
    </row>
    <row r="91" spans="1:10" ht="15" customHeight="1">
      <c r="A91" s="2" t="s">
        <v>164</v>
      </c>
      <c r="B91" s="3">
        <v>45730</v>
      </c>
      <c r="C91" s="2" t="s">
        <v>157</v>
      </c>
      <c r="D91" s="2" t="s">
        <v>42</v>
      </c>
      <c r="E91" s="15" t="s">
        <v>57</v>
      </c>
      <c r="F91" s="15" t="s">
        <v>165</v>
      </c>
      <c r="G91" s="2" t="s">
        <v>11</v>
      </c>
      <c r="H91" t="str">
        <f>_xlfn.CONCAT(Table1[[#This Row],[Attendance_ID]],Table1[[#This Row],[Date]],Table1[[#This Row],[Employee_ID]])</f>
        <v>ATT0032545730EMP1009</v>
      </c>
      <c r="I91" s="12" t="e">
        <f>VLOOKUP(Table1[[#This Row],[Employee_ID]],[1]!Table1[[Employee_ID]:[Employee_Name]],2,0)</f>
        <v>#REF!</v>
      </c>
      <c r="J91" s="2" t="b">
        <f>Table1[[#This Row],[Login_Time]]&lt;Table1[[#This Row],[Logout_Time]]</f>
        <v>1</v>
      </c>
    </row>
    <row r="92" spans="1:10" ht="15" customHeight="1">
      <c r="A92" s="2" t="s">
        <v>166</v>
      </c>
      <c r="B92" s="3">
        <v>45714</v>
      </c>
      <c r="C92" s="2" t="s">
        <v>157</v>
      </c>
      <c r="D92" s="2" t="s">
        <v>9</v>
      </c>
      <c r="E92" s="15" t="s">
        <v>40</v>
      </c>
      <c r="F92" s="15" t="s">
        <v>14</v>
      </c>
      <c r="G92" s="2" t="s">
        <v>11</v>
      </c>
      <c r="H92" t="str">
        <f>_xlfn.CONCAT(Table1[[#This Row],[Attendance_ID]],Table1[[#This Row],[Date]],Table1[[#This Row],[Employee_ID]])</f>
        <v>ATT0037545714EMP1009</v>
      </c>
      <c r="I92" s="12" t="e">
        <f>VLOOKUP(Table1[[#This Row],[Employee_ID]],[1]!Table1[[Employee_ID]:[Employee_Name]],2,0)</f>
        <v>#REF!</v>
      </c>
      <c r="J92" s="2" t="b">
        <f>Table1[[#This Row],[Login_Time]]&lt;Table1[[#This Row],[Logout_Time]]</f>
        <v>1</v>
      </c>
    </row>
    <row r="93" spans="1:10" ht="15" customHeight="1">
      <c r="A93" s="2" t="s">
        <v>167</v>
      </c>
      <c r="B93" s="3">
        <v>45745</v>
      </c>
      <c r="C93" s="2" t="s">
        <v>157</v>
      </c>
      <c r="D93" s="2" t="s">
        <v>9</v>
      </c>
      <c r="E93" s="15" t="s">
        <v>34</v>
      </c>
      <c r="F93" s="15" t="s">
        <v>168</v>
      </c>
      <c r="G93" s="2" t="s">
        <v>21</v>
      </c>
      <c r="H93" t="str">
        <f>_xlfn.CONCAT(Table1[[#This Row],[Attendance_ID]],Table1[[#This Row],[Date]],Table1[[#This Row],[Employee_ID]])</f>
        <v>ATT0042545745EMP1009</v>
      </c>
      <c r="I93" s="12" t="e">
        <f>VLOOKUP(Table1[[#This Row],[Employee_ID]],[1]!Table1[[Employee_ID]:[Employee_Name]],2,0)</f>
        <v>#REF!</v>
      </c>
      <c r="J93" s="2" t="b">
        <f>Table1[[#This Row],[Login_Time]]&lt;Table1[[#This Row],[Logout_Time]]</f>
        <v>1</v>
      </c>
    </row>
    <row r="94" spans="1:10" ht="15" customHeight="1">
      <c r="A94" s="2" t="s">
        <v>169</v>
      </c>
      <c r="B94" s="3">
        <v>45727</v>
      </c>
      <c r="C94" s="2" t="s">
        <v>157</v>
      </c>
      <c r="D94" s="2" t="s">
        <v>9</v>
      </c>
      <c r="E94" s="15" t="s">
        <v>16</v>
      </c>
      <c r="F94" s="15" t="s">
        <v>32</v>
      </c>
      <c r="G94" s="2" t="s">
        <v>11</v>
      </c>
      <c r="H94" t="str">
        <f>_xlfn.CONCAT(Table1[[#This Row],[Attendance_ID]],Table1[[#This Row],[Date]],Table1[[#This Row],[Employee_ID]])</f>
        <v>ATT0047545727EMP1009</v>
      </c>
      <c r="I94" s="12" t="e">
        <f>VLOOKUP(Table1[[#This Row],[Employee_ID]],[1]!Table1[[Employee_ID]:[Employee_Name]],2,0)</f>
        <v>#REF!</v>
      </c>
      <c r="J94" s="2" t="b">
        <f>Table1[[#This Row],[Login_Time]]&lt;Table1[[#This Row],[Logout_Time]]</f>
        <v>1</v>
      </c>
    </row>
    <row r="95" spans="1:10" ht="15" customHeight="1">
      <c r="A95" s="2" t="s">
        <v>170</v>
      </c>
      <c r="B95" s="3">
        <v>45699</v>
      </c>
      <c r="C95" s="2" t="s">
        <v>171</v>
      </c>
      <c r="D95" s="2" t="s">
        <v>9</v>
      </c>
      <c r="E95" s="15" t="s">
        <v>53</v>
      </c>
      <c r="F95" s="15" t="s">
        <v>14</v>
      </c>
      <c r="G95" s="2" t="s">
        <v>11</v>
      </c>
      <c r="H95" t="str">
        <f>_xlfn.CONCAT(Table1[[#This Row],[Attendance_ID]],Table1[[#This Row],[Date]],Table1[[#This Row],[Employee_ID]])</f>
        <v>ATT0002645699EMP1010</v>
      </c>
      <c r="I95" s="12" t="e">
        <f>VLOOKUP(Table1[[#This Row],[Employee_ID]],[1]!Table1[[Employee_ID]:[Employee_Name]],2,0)</f>
        <v>#REF!</v>
      </c>
      <c r="J95" s="2" t="b">
        <f>Table1[[#This Row],[Login_Time]]&lt;Table1[[#This Row],[Logout_Time]]</f>
        <v>1</v>
      </c>
    </row>
    <row r="96" spans="1:10" ht="15" hidden="1" customHeight="1">
      <c r="A96" s="2" t="s">
        <v>172</v>
      </c>
      <c r="B96" s="3">
        <v>45671</v>
      </c>
      <c r="C96" s="2" t="s">
        <v>171</v>
      </c>
      <c r="D96" s="2" t="s">
        <v>70</v>
      </c>
      <c r="E96" s="15"/>
      <c r="F96" s="15"/>
      <c r="G96" s="2" t="s">
        <v>11</v>
      </c>
      <c r="H96" t="str">
        <f>_xlfn.CONCAT(Table1[[#This Row],[Attendance_ID]],Table1[[#This Row],[Date]],Table1[[#This Row],[Employee_ID]])</f>
        <v>ATT0007645671EMP1010</v>
      </c>
      <c r="I96" s="12" t="e">
        <f>VLOOKUP(Table1[[#This Row],[Employee_ID]],[1]!Table1[[Employee_ID]:[Employee_Name]],2,0)</f>
        <v>#REF!</v>
      </c>
      <c r="J96" s="2" t="b">
        <f>Table1[[#This Row],[Login_Time]]&lt;Table1[[#This Row],[Logout_Time]]</f>
        <v>0</v>
      </c>
    </row>
    <row r="97" spans="1:10" ht="15" customHeight="1">
      <c r="A97" s="2" t="s">
        <v>173</v>
      </c>
      <c r="B97" s="3">
        <v>45663</v>
      </c>
      <c r="C97" s="2" t="s">
        <v>171</v>
      </c>
      <c r="D97" s="2" t="s">
        <v>9</v>
      </c>
      <c r="E97" s="15" t="s">
        <v>100</v>
      </c>
      <c r="F97" s="15" t="s">
        <v>122</v>
      </c>
      <c r="G97" s="2" t="s">
        <v>11</v>
      </c>
      <c r="H97" t="str">
        <f>_xlfn.CONCAT(Table1[[#This Row],[Attendance_ID]],Table1[[#This Row],[Date]],Table1[[#This Row],[Employee_ID]])</f>
        <v>ATT0012645663EMP1010</v>
      </c>
      <c r="I97" s="12" t="e">
        <f>VLOOKUP(Table1[[#This Row],[Employee_ID]],[1]!Table1[[Employee_ID]:[Employee_Name]],2,0)</f>
        <v>#REF!</v>
      </c>
      <c r="J97" s="2" t="b">
        <f>Table1[[#This Row],[Login_Time]]&lt;Table1[[#This Row],[Logout_Time]]</f>
        <v>1</v>
      </c>
    </row>
    <row r="98" spans="1:10" ht="15" hidden="1" customHeight="1">
      <c r="A98" s="2" t="s">
        <v>174</v>
      </c>
      <c r="B98" s="3">
        <v>45686</v>
      </c>
      <c r="C98" s="2" t="s">
        <v>171</v>
      </c>
      <c r="D98" s="2" t="s">
        <v>26</v>
      </c>
      <c r="E98" s="15"/>
      <c r="F98" s="15"/>
      <c r="G98" s="2" t="s">
        <v>11</v>
      </c>
      <c r="H98" t="str">
        <f>_xlfn.CONCAT(Table1[[#This Row],[Attendance_ID]],Table1[[#This Row],[Date]],Table1[[#This Row],[Employee_ID]])</f>
        <v>ATT0017645686EMP1010</v>
      </c>
      <c r="I98" s="12" t="e">
        <f>VLOOKUP(Table1[[#This Row],[Employee_ID]],[1]!Table1[[Employee_ID]:[Employee_Name]],2,0)</f>
        <v>#REF!</v>
      </c>
      <c r="J98" s="2" t="b">
        <f>Table1[[#This Row],[Login_Time]]&lt;Table1[[#This Row],[Logout_Time]]</f>
        <v>0</v>
      </c>
    </row>
    <row r="99" spans="1:10" ht="15" customHeight="1">
      <c r="A99" s="2" t="s">
        <v>175</v>
      </c>
      <c r="B99" s="3">
        <v>45664</v>
      </c>
      <c r="C99" s="2" t="s">
        <v>171</v>
      </c>
      <c r="D99" s="2" t="s">
        <v>42</v>
      </c>
      <c r="E99" s="15" t="s">
        <v>53</v>
      </c>
      <c r="F99" s="15" t="s">
        <v>10</v>
      </c>
      <c r="G99" s="2" t="s">
        <v>11</v>
      </c>
      <c r="H99" t="str">
        <f>_xlfn.CONCAT(Table1[[#This Row],[Attendance_ID]],Table1[[#This Row],[Date]],Table1[[#This Row],[Employee_ID]])</f>
        <v>ATT0022645664EMP1010</v>
      </c>
      <c r="I99" s="12" t="e">
        <f>VLOOKUP(Table1[[#This Row],[Employee_ID]],[1]!Table1[[Employee_ID]:[Employee_Name]],2,0)</f>
        <v>#REF!</v>
      </c>
      <c r="J99" s="2" t="b">
        <f>Table1[[#This Row],[Login_Time]]&lt;Table1[[#This Row],[Logout_Time]]</f>
        <v>1</v>
      </c>
    </row>
    <row r="100" spans="1:10" ht="15" customHeight="1">
      <c r="A100" s="2" t="s">
        <v>176</v>
      </c>
      <c r="B100" s="3">
        <v>45738</v>
      </c>
      <c r="C100" s="2" t="s">
        <v>171</v>
      </c>
      <c r="D100" s="2" t="s">
        <v>9</v>
      </c>
      <c r="E100" s="15" t="s">
        <v>43</v>
      </c>
      <c r="F100" s="15" t="s">
        <v>35</v>
      </c>
      <c r="G100" s="2" t="s">
        <v>21</v>
      </c>
      <c r="H100" t="str">
        <f>_xlfn.CONCAT(Table1[[#This Row],[Attendance_ID]],Table1[[#This Row],[Date]],Table1[[#This Row],[Employee_ID]])</f>
        <v>ATT0027645738EMP1010</v>
      </c>
      <c r="I100" s="12" t="e">
        <f>VLOOKUP(Table1[[#This Row],[Employee_ID]],[1]!Table1[[Employee_ID]:[Employee_Name]],2,0)</f>
        <v>#REF!</v>
      </c>
      <c r="J100" s="2" t="b">
        <f>Table1[[#This Row],[Login_Time]]&lt;Table1[[#This Row],[Logout_Time]]</f>
        <v>1</v>
      </c>
    </row>
    <row r="101" spans="1:10" ht="15" customHeight="1">
      <c r="A101" s="2" t="s">
        <v>177</v>
      </c>
      <c r="B101" s="3">
        <v>45738</v>
      </c>
      <c r="C101" s="2" t="s">
        <v>171</v>
      </c>
      <c r="D101" s="2" t="s">
        <v>9</v>
      </c>
      <c r="E101" s="15" t="s">
        <v>53</v>
      </c>
      <c r="F101" s="15" t="s">
        <v>154</v>
      </c>
      <c r="G101" s="2" t="s">
        <v>11</v>
      </c>
      <c r="H101" t="str">
        <f>_xlfn.CONCAT(Table1[[#This Row],[Attendance_ID]],Table1[[#This Row],[Date]],Table1[[#This Row],[Employee_ID]])</f>
        <v>ATT0032645738EMP1010</v>
      </c>
      <c r="I101" s="12" t="e">
        <f>VLOOKUP(Table1[[#This Row],[Employee_ID]],[1]!Table1[[Employee_ID]:[Employee_Name]],2,0)</f>
        <v>#REF!</v>
      </c>
      <c r="J101" s="2" t="b">
        <f>Table1[[#This Row],[Login_Time]]&lt;Table1[[#This Row],[Logout_Time]]</f>
        <v>1</v>
      </c>
    </row>
    <row r="102" spans="1:10" ht="15" customHeight="1">
      <c r="A102" s="2" t="s">
        <v>178</v>
      </c>
      <c r="B102" s="3">
        <v>45658</v>
      </c>
      <c r="C102" s="2" t="s">
        <v>171</v>
      </c>
      <c r="D102" s="2" t="s">
        <v>9</v>
      </c>
      <c r="E102" s="15" t="s">
        <v>50</v>
      </c>
      <c r="F102" s="15" t="s">
        <v>55</v>
      </c>
      <c r="G102" s="2" t="s">
        <v>21</v>
      </c>
      <c r="H102" t="str">
        <f>_xlfn.CONCAT(Table1[[#This Row],[Attendance_ID]],Table1[[#This Row],[Date]],Table1[[#This Row],[Employee_ID]])</f>
        <v>ATT0037645658EMP1010</v>
      </c>
      <c r="I102" s="12" t="e">
        <f>VLOOKUP(Table1[[#This Row],[Employee_ID]],[1]!Table1[[Employee_ID]:[Employee_Name]],2,0)</f>
        <v>#REF!</v>
      </c>
      <c r="J102" s="2" t="b">
        <f>Table1[[#This Row],[Login_Time]]&lt;Table1[[#This Row],[Logout_Time]]</f>
        <v>1</v>
      </c>
    </row>
    <row r="103" spans="1:10" ht="15" customHeight="1">
      <c r="A103" s="2" t="s">
        <v>179</v>
      </c>
      <c r="B103" s="3">
        <v>45692</v>
      </c>
      <c r="C103" s="2" t="s">
        <v>171</v>
      </c>
      <c r="D103" s="2" t="s">
        <v>9</v>
      </c>
      <c r="E103" s="15" t="s">
        <v>57</v>
      </c>
      <c r="F103" s="15" t="s">
        <v>106</v>
      </c>
      <c r="G103" s="2" t="s">
        <v>11</v>
      </c>
      <c r="H103" t="str">
        <f>_xlfn.CONCAT(Table1[[#This Row],[Attendance_ID]],Table1[[#This Row],[Date]],Table1[[#This Row],[Employee_ID]])</f>
        <v>ATT0042645692EMP1010</v>
      </c>
      <c r="I103" s="12" t="e">
        <f>VLOOKUP(Table1[[#This Row],[Employee_ID]],[1]!Table1[[Employee_ID]:[Employee_Name]],2,0)</f>
        <v>#REF!</v>
      </c>
      <c r="J103" s="2" t="b">
        <f>Table1[[#This Row],[Login_Time]]&lt;Table1[[#This Row],[Logout_Time]]</f>
        <v>1</v>
      </c>
    </row>
    <row r="104" spans="1:10" ht="15" customHeight="1">
      <c r="A104" s="2" t="s">
        <v>180</v>
      </c>
      <c r="B104" s="3">
        <v>45708</v>
      </c>
      <c r="C104" s="2" t="s">
        <v>171</v>
      </c>
      <c r="D104" s="2" t="s">
        <v>9</v>
      </c>
      <c r="E104" s="15" t="s">
        <v>59</v>
      </c>
      <c r="F104" s="15" t="s">
        <v>165</v>
      </c>
      <c r="G104" s="2" t="s">
        <v>21</v>
      </c>
      <c r="H104" t="str">
        <f>_xlfn.CONCAT(Table1[[#This Row],[Attendance_ID]],Table1[[#This Row],[Date]],Table1[[#This Row],[Employee_ID]])</f>
        <v>ATT0047645708EMP1010</v>
      </c>
      <c r="I104" s="12" t="e">
        <f>VLOOKUP(Table1[[#This Row],[Employee_ID]],[1]!Table1[[Employee_ID]:[Employee_Name]],2,0)</f>
        <v>#REF!</v>
      </c>
      <c r="J104" s="2" t="b">
        <f>Table1[[#This Row],[Login_Time]]&lt;Table1[[#This Row],[Logout_Time]]</f>
        <v>1</v>
      </c>
    </row>
    <row r="105" spans="1:10" ht="15" customHeight="1">
      <c r="A105" s="2" t="s">
        <v>181</v>
      </c>
      <c r="B105" s="3">
        <v>45727</v>
      </c>
      <c r="C105" s="2" t="s">
        <v>182</v>
      </c>
      <c r="D105" s="2" t="s">
        <v>9</v>
      </c>
      <c r="E105" s="15" t="s">
        <v>108</v>
      </c>
      <c r="F105" s="15" t="s">
        <v>51</v>
      </c>
      <c r="G105" s="2" t="s">
        <v>11</v>
      </c>
      <c r="H105" t="str">
        <f>_xlfn.CONCAT(Table1[[#This Row],[Attendance_ID]],Table1[[#This Row],[Date]],Table1[[#This Row],[Employee_ID]])</f>
        <v>ATT0002745727EMP1011</v>
      </c>
      <c r="I105" s="12" t="e">
        <f>VLOOKUP(Table1[[#This Row],[Employee_ID]],[1]!Table1[[Employee_ID]:[Employee_Name]],2,0)</f>
        <v>#REF!</v>
      </c>
      <c r="J105" s="2" t="b">
        <f>Table1[[#This Row],[Login_Time]]&lt;Table1[[#This Row],[Logout_Time]]</f>
        <v>1</v>
      </c>
    </row>
    <row r="106" spans="1:10" ht="15" customHeight="1">
      <c r="A106" s="2" t="s">
        <v>183</v>
      </c>
      <c r="B106" s="3">
        <v>45741</v>
      </c>
      <c r="C106" s="2" t="s">
        <v>182</v>
      </c>
      <c r="D106" s="2" t="s">
        <v>42</v>
      </c>
      <c r="E106" s="15" t="s">
        <v>61</v>
      </c>
      <c r="F106" s="15" t="s">
        <v>168</v>
      </c>
      <c r="G106" s="2" t="s">
        <v>21</v>
      </c>
      <c r="H106" t="str">
        <f>_xlfn.CONCAT(Table1[[#This Row],[Attendance_ID]],Table1[[#This Row],[Date]],Table1[[#This Row],[Employee_ID]])</f>
        <v>ATT0007745741EMP1011</v>
      </c>
      <c r="I106" s="12" t="e">
        <f>VLOOKUP(Table1[[#This Row],[Employee_ID]],[1]!Table1[[Employee_ID]:[Employee_Name]],2,0)</f>
        <v>#REF!</v>
      </c>
      <c r="J106" s="2" t="b">
        <f>Table1[[#This Row],[Login_Time]]&lt;Table1[[#This Row],[Logout_Time]]</f>
        <v>1</v>
      </c>
    </row>
    <row r="107" spans="1:10" ht="15" hidden="1" customHeight="1">
      <c r="A107" s="2" t="s">
        <v>184</v>
      </c>
      <c r="B107" s="3">
        <v>45734</v>
      </c>
      <c r="C107" s="2" t="s">
        <v>182</v>
      </c>
      <c r="D107" s="2" t="s">
        <v>70</v>
      </c>
      <c r="E107" s="15"/>
      <c r="F107" s="15"/>
      <c r="G107" s="2" t="s">
        <v>11</v>
      </c>
      <c r="H107" t="str">
        <f>_xlfn.CONCAT(Table1[[#This Row],[Attendance_ID]],Table1[[#This Row],[Date]],Table1[[#This Row],[Employee_ID]])</f>
        <v>ATT0012745734EMP1011</v>
      </c>
      <c r="I107" s="12" t="e">
        <f>VLOOKUP(Table1[[#This Row],[Employee_ID]],[1]!Table1[[Employee_ID]:[Employee_Name]],2,0)</f>
        <v>#REF!</v>
      </c>
      <c r="J107" s="2" t="b">
        <f>Table1[[#This Row],[Login_Time]]&lt;Table1[[#This Row],[Logout_Time]]</f>
        <v>0</v>
      </c>
    </row>
    <row r="108" spans="1:10" ht="15" customHeight="1">
      <c r="A108" s="2" t="s">
        <v>185</v>
      </c>
      <c r="B108" s="3">
        <v>45671</v>
      </c>
      <c r="C108" s="2" t="s">
        <v>182</v>
      </c>
      <c r="D108" s="2" t="s">
        <v>9</v>
      </c>
      <c r="E108" s="15" t="s">
        <v>149</v>
      </c>
      <c r="F108" s="15" t="s">
        <v>113</v>
      </c>
      <c r="G108" s="2" t="s">
        <v>21</v>
      </c>
      <c r="H108" t="str">
        <f>_xlfn.CONCAT(Table1[[#This Row],[Attendance_ID]],Table1[[#This Row],[Date]],Table1[[#This Row],[Employee_ID]])</f>
        <v>ATT0017745671EMP1011</v>
      </c>
      <c r="I108" s="12" t="e">
        <f>VLOOKUP(Table1[[#This Row],[Employee_ID]],[1]!Table1[[Employee_ID]:[Employee_Name]],2,0)</f>
        <v>#REF!</v>
      </c>
      <c r="J108" s="2" t="b">
        <f>Table1[[#This Row],[Login_Time]]&lt;Table1[[#This Row],[Logout_Time]]</f>
        <v>1</v>
      </c>
    </row>
    <row r="109" spans="1:10" ht="15" hidden="1" customHeight="1">
      <c r="A109" s="2" t="s">
        <v>186</v>
      </c>
      <c r="B109" s="3">
        <v>45716</v>
      </c>
      <c r="C109" s="2" t="s">
        <v>182</v>
      </c>
      <c r="D109" s="2" t="s">
        <v>70</v>
      </c>
      <c r="E109" s="15"/>
      <c r="F109" s="15"/>
      <c r="G109" s="2" t="s">
        <v>11</v>
      </c>
      <c r="H109" t="str">
        <f>_xlfn.CONCAT(Table1[[#This Row],[Attendance_ID]],Table1[[#This Row],[Date]],Table1[[#This Row],[Employee_ID]])</f>
        <v>ATT0022745716EMP1011</v>
      </c>
      <c r="I109" s="12" t="e">
        <f>VLOOKUP(Table1[[#This Row],[Employee_ID]],[1]!Table1[[Employee_ID]:[Employee_Name]],2,0)</f>
        <v>#REF!</v>
      </c>
      <c r="J109" s="2" t="b">
        <f>Table1[[#This Row],[Login_Time]]&lt;Table1[[#This Row],[Logout_Time]]</f>
        <v>0</v>
      </c>
    </row>
    <row r="110" spans="1:10" ht="15" customHeight="1">
      <c r="A110" s="2" t="s">
        <v>187</v>
      </c>
      <c r="B110" s="3">
        <v>45695</v>
      </c>
      <c r="C110" s="2" t="s">
        <v>182</v>
      </c>
      <c r="D110" s="2" t="s">
        <v>42</v>
      </c>
      <c r="E110" s="15" t="s">
        <v>34</v>
      </c>
      <c r="F110" s="15" t="s">
        <v>51</v>
      </c>
      <c r="G110" s="2" t="s">
        <v>21</v>
      </c>
      <c r="H110" t="str">
        <f>_xlfn.CONCAT(Table1[[#This Row],[Attendance_ID]],Table1[[#This Row],[Date]],Table1[[#This Row],[Employee_ID]])</f>
        <v>ATT0027745695EMP1011</v>
      </c>
      <c r="I110" s="12" t="e">
        <f>VLOOKUP(Table1[[#This Row],[Employee_ID]],[1]!Table1[[Employee_ID]:[Employee_Name]],2,0)</f>
        <v>#REF!</v>
      </c>
      <c r="J110" s="2" t="b">
        <f>Table1[[#This Row],[Login_Time]]&lt;Table1[[#This Row],[Logout_Time]]</f>
        <v>1</v>
      </c>
    </row>
    <row r="111" spans="1:10" ht="15" hidden="1" customHeight="1">
      <c r="A111" s="2" t="s">
        <v>188</v>
      </c>
      <c r="B111" s="3">
        <v>45728</v>
      </c>
      <c r="C111" s="2" t="s">
        <v>182</v>
      </c>
      <c r="D111" s="2" t="s">
        <v>26</v>
      </c>
      <c r="E111" s="15"/>
      <c r="F111" s="15"/>
      <c r="G111" s="2" t="s">
        <v>11</v>
      </c>
      <c r="H111" t="str">
        <f>_xlfn.CONCAT(Table1[[#This Row],[Attendance_ID]],Table1[[#This Row],[Date]],Table1[[#This Row],[Employee_ID]])</f>
        <v>ATT0032745728EMP1011</v>
      </c>
      <c r="I111" s="12" t="e">
        <f>VLOOKUP(Table1[[#This Row],[Employee_ID]],[1]!Table1[[Employee_ID]:[Employee_Name]],2,0)</f>
        <v>#REF!</v>
      </c>
      <c r="J111" s="2" t="b">
        <f>Table1[[#This Row],[Login_Time]]&lt;Table1[[#This Row],[Logout_Time]]</f>
        <v>0</v>
      </c>
    </row>
    <row r="112" spans="1:10" ht="15" hidden="1" customHeight="1">
      <c r="A112" s="2" t="s">
        <v>189</v>
      </c>
      <c r="B112" s="3">
        <v>45699</v>
      </c>
      <c r="C112" s="2" t="s">
        <v>182</v>
      </c>
      <c r="D112" s="2" t="s">
        <v>70</v>
      </c>
      <c r="E112" s="15"/>
      <c r="F112" s="15"/>
      <c r="G112" s="2" t="s">
        <v>11</v>
      </c>
      <c r="H112" t="str">
        <f>_xlfn.CONCAT(Table1[[#This Row],[Attendance_ID]],Table1[[#This Row],[Date]],Table1[[#This Row],[Employee_ID]])</f>
        <v>ATT0037745699EMP1011</v>
      </c>
      <c r="I112" s="12" t="e">
        <f>VLOOKUP(Table1[[#This Row],[Employee_ID]],[1]!Table1[[Employee_ID]:[Employee_Name]],2,0)</f>
        <v>#REF!</v>
      </c>
      <c r="J112" s="2" t="b">
        <f>Table1[[#This Row],[Login_Time]]&lt;Table1[[#This Row],[Logout_Time]]</f>
        <v>0</v>
      </c>
    </row>
    <row r="113" spans="1:10" ht="15" customHeight="1">
      <c r="A113" s="2" t="s">
        <v>190</v>
      </c>
      <c r="B113" s="3">
        <v>45742</v>
      </c>
      <c r="C113" s="2" t="s">
        <v>182</v>
      </c>
      <c r="D113" s="2" t="s">
        <v>9</v>
      </c>
      <c r="E113" s="15" t="s">
        <v>57</v>
      </c>
      <c r="F113" s="15" t="s">
        <v>191</v>
      </c>
      <c r="G113" s="2" t="s">
        <v>11</v>
      </c>
      <c r="H113" t="str">
        <f>_xlfn.CONCAT(Table1[[#This Row],[Attendance_ID]],Table1[[#This Row],[Date]],Table1[[#This Row],[Employee_ID]])</f>
        <v>ATT0042745742EMP1011</v>
      </c>
      <c r="I113" s="12" t="e">
        <f>VLOOKUP(Table1[[#This Row],[Employee_ID]],[1]!Table1[[Employee_ID]:[Employee_Name]],2,0)</f>
        <v>#REF!</v>
      </c>
      <c r="J113" s="2" t="b">
        <f>Table1[[#This Row],[Login_Time]]&lt;Table1[[#This Row],[Logout_Time]]</f>
        <v>1</v>
      </c>
    </row>
    <row r="114" spans="1:10" ht="15" customHeight="1">
      <c r="A114" s="2" t="s">
        <v>192</v>
      </c>
      <c r="B114" s="3">
        <v>45732</v>
      </c>
      <c r="C114" s="2" t="s">
        <v>182</v>
      </c>
      <c r="D114" s="2" t="s">
        <v>42</v>
      </c>
      <c r="E114" s="15" t="s">
        <v>100</v>
      </c>
      <c r="F114" s="15" t="s">
        <v>96</v>
      </c>
      <c r="G114" s="2" t="s">
        <v>11</v>
      </c>
      <c r="H114" t="str">
        <f>_xlfn.CONCAT(Table1[[#This Row],[Attendance_ID]],Table1[[#This Row],[Date]],Table1[[#This Row],[Employee_ID]])</f>
        <v>ATT0047745732EMP1011</v>
      </c>
      <c r="I114" s="12" t="e">
        <f>VLOOKUP(Table1[[#This Row],[Employee_ID]],[1]!Table1[[Employee_ID]:[Employee_Name]],2,0)</f>
        <v>#REF!</v>
      </c>
      <c r="J114" s="2" t="b">
        <f>Table1[[#This Row],[Login_Time]]&lt;Table1[[#This Row],[Logout_Time]]</f>
        <v>1</v>
      </c>
    </row>
    <row r="115" spans="1:10" ht="15" customHeight="1">
      <c r="A115" s="2" t="s">
        <v>193</v>
      </c>
      <c r="B115" s="3">
        <v>45708</v>
      </c>
      <c r="C115" s="2" t="s">
        <v>194</v>
      </c>
      <c r="D115" s="2" t="s">
        <v>9</v>
      </c>
      <c r="E115" s="15" t="s">
        <v>59</v>
      </c>
      <c r="F115" s="15" t="s">
        <v>195</v>
      </c>
      <c r="G115" s="2" t="s">
        <v>21</v>
      </c>
      <c r="H115" t="str">
        <f>_xlfn.CONCAT(Table1[[#This Row],[Attendance_ID]],Table1[[#This Row],[Date]],Table1[[#This Row],[Employee_ID]])</f>
        <v>ATT0002845708EMP1012</v>
      </c>
      <c r="I115" s="12" t="e">
        <f>VLOOKUP(Table1[[#This Row],[Employee_ID]],[1]!Table1[[Employee_ID]:[Employee_Name]],2,0)</f>
        <v>#REF!</v>
      </c>
      <c r="J115" s="2" t="b">
        <f>Table1[[#This Row],[Login_Time]]&lt;Table1[[#This Row],[Logout_Time]]</f>
        <v>1</v>
      </c>
    </row>
    <row r="116" spans="1:10" ht="15" customHeight="1">
      <c r="A116" s="2" t="s">
        <v>196</v>
      </c>
      <c r="B116" s="3">
        <v>45702</v>
      </c>
      <c r="C116" s="2" t="s">
        <v>194</v>
      </c>
      <c r="D116" s="2" t="s">
        <v>42</v>
      </c>
      <c r="E116" s="15" t="s">
        <v>23</v>
      </c>
      <c r="F116" s="15" t="s">
        <v>66</v>
      </c>
      <c r="G116" s="2" t="s">
        <v>11</v>
      </c>
      <c r="H116" t="str">
        <f>_xlfn.CONCAT(Table1[[#This Row],[Attendance_ID]],Table1[[#This Row],[Date]],Table1[[#This Row],[Employee_ID]])</f>
        <v>ATT0007845702EMP1012</v>
      </c>
      <c r="I116" s="12" t="e">
        <f>VLOOKUP(Table1[[#This Row],[Employee_ID]],[1]!Table1[[Employee_ID]:[Employee_Name]],2,0)</f>
        <v>#REF!</v>
      </c>
      <c r="J116" s="2" t="b">
        <f>Table1[[#This Row],[Login_Time]]&lt;Table1[[#This Row],[Logout_Time]]</f>
        <v>1</v>
      </c>
    </row>
    <row r="117" spans="1:10" ht="15" customHeight="1">
      <c r="A117" s="2" t="s">
        <v>197</v>
      </c>
      <c r="B117" s="3">
        <v>45667</v>
      </c>
      <c r="C117" s="2" t="s">
        <v>194</v>
      </c>
      <c r="D117" s="2" t="s">
        <v>9</v>
      </c>
      <c r="E117" s="15" t="s">
        <v>19</v>
      </c>
      <c r="F117" s="15" t="s">
        <v>32</v>
      </c>
      <c r="G117" s="2" t="s">
        <v>21</v>
      </c>
      <c r="H117" t="str">
        <f>_xlfn.CONCAT(Table1[[#This Row],[Attendance_ID]],Table1[[#This Row],[Date]],Table1[[#This Row],[Employee_ID]])</f>
        <v>ATT0012845667EMP1012</v>
      </c>
      <c r="I117" s="12" t="e">
        <f>VLOOKUP(Table1[[#This Row],[Employee_ID]],[1]!Table1[[Employee_ID]:[Employee_Name]],2,0)</f>
        <v>#REF!</v>
      </c>
      <c r="J117" s="2" t="b">
        <f>Table1[[#This Row],[Login_Time]]&lt;Table1[[#This Row],[Logout_Time]]</f>
        <v>1</v>
      </c>
    </row>
    <row r="118" spans="1:10" ht="15" customHeight="1">
      <c r="A118" s="2" t="s">
        <v>198</v>
      </c>
      <c r="B118" s="3">
        <v>45736</v>
      </c>
      <c r="C118" s="2" t="s">
        <v>194</v>
      </c>
      <c r="D118" s="2" t="s">
        <v>42</v>
      </c>
      <c r="E118" s="15" t="s">
        <v>31</v>
      </c>
      <c r="F118" s="15" t="s">
        <v>101</v>
      </c>
      <c r="G118" s="2" t="s">
        <v>21</v>
      </c>
      <c r="H118" t="str">
        <f>_xlfn.CONCAT(Table1[[#This Row],[Attendance_ID]],Table1[[#This Row],[Date]],Table1[[#This Row],[Employee_ID]])</f>
        <v>ATT0017845736EMP1012</v>
      </c>
      <c r="I118" s="12" t="e">
        <f>VLOOKUP(Table1[[#This Row],[Employee_ID]],[1]!Table1[[Employee_ID]:[Employee_Name]],2,0)</f>
        <v>#REF!</v>
      </c>
      <c r="J118" s="2" t="b">
        <f>Table1[[#This Row],[Login_Time]]&lt;Table1[[#This Row],[Logout_Time]]</f>
        <v>1</v>
      </c>
    </row>
    <row r="119" spans="1:10" ht="15" customHeight="1">
      <c r="A119" s="2" t="s">
        <v>199</v>
      </c>
      <c r="B119" s="3">
        <v>45714</v>
      </c>
      <c r="C119" s="2" t="s">
        <v>194</v>
      </c>
      <c r="D119" s="2" t="s">
        <v>9</v>
      </c>
      <c r="E119" s="15" t="s">
        <v>31</v>
      </c>
      <c r="F119" s="15" t="s">
        <v>96</v>
      </c>
      <c r="G119" s="2" t="s">
        <v>21</v>
      </c>
      <c r="H119" t="str">
        <f>_xlfn.CONCAT(Table1[[#This Row],[Attendance_ID]],Table1[[#This Row],[Date]],Table1[[#This Row],[Employee_ID]])</f>
        <v>ATT0022845714EMP1012</v>
      </c>
      <c r="I119" s="12" t="e">
        <f>VLOOKUP(Table1[[#This Row],[Employee_ID]],[1]!Table1[[Employee_ID]:[Employee_Name]],2,0)</f>
        <v>#REF!</v>
      </c>
      <c r="J119" s="2" t="b">
        <f>Table1[[#This Row],[Login_Time]]&lt;Table1[[#This Row],[Logout_Time]]</f>
        <v>1</v>
      </c>
    </row>
    <row r="120" spans="1:10" ht="15" customHeight="1">
      <c r="A120" s="2" t="s">
        <v>200</v>
      </c>
      <c r="B120" s="3">
        <v>45746</v>
      </c>
      <c r="C120" s="2" t="s">
        <v>194</v>
      </c>
      <c r="D120" s="2" t="s">
        <v>9</v>
      </c>
      <c r="E120" s="15" t="s">
        <v>34</v>
      </c>
      <c r="F120" s="15" t="s">
        <v>14</v>
      </c>
      <c r="G120" s="2" t="s">
        <v>21</v>
      </c>
      <c r="H120" t="str">
        <f>_xlfn.CONCAT(Table1[[#This Row],[Attendance_ID]],Table1[[#This Row],[Date]],Table1[[#This Row],[Employee_ID]])</f>
        <v>ATT0027845746EMP1012</v>
      </c>
      <c r="I120" s="12" t="e">
        <f>VLOOKUP(Table1[[#This Row],[Employee_ID]],[1]!Table1[[Employee_ID]:[Employee_Name]],2,0)</f>
        <v>#REF!</v>
      </c>
      <c r="J120" s="2" t="b">
        <f>Table1[[#This Row],[Login_Time]]&lt;Table1[[#This Row],[Logout_Time]]</f>
        <v>1</v>
      </c>
    </row>
    <row r="121" spans="1:10" ht="15" hidden="1" customHeight="1">
      <c r="A121" s="2" t="s">
        <v>201</v>
      </c>
      <c r="B121" s="3">
        <v>45742</v>
      </c>
      <c r="C121" s="2" t="s">
        <v>194</v>
      </c>
      <c r="D121" s="2" t="s">
        <v>70</v>
      </c>
      <c r="E121" s="15"/>
      <c r="F121" s="15"/>
      <c r="G121" s="2" t="s">
        <v>11</v>
      </c>
      <c r="H121" t="str">
        <f>_xlfn.CONCAT(Table1[[#This Row],[Attendance_ID]],Table1[[#This Row],[Date]],Table1[[#This Row],[Employee_ID]])</f>
        <v>ATT0032845742EMP1012</v>
      </c>
      <c r="I121" s="12" t="e">
        <f>VLOOKUP(Table1[[#This Row],[Employee_ID]],[1]!Table1[[Employee_ID]:[Employee_Name]],2,0)</f>
        <v>#REF!</v>
      </c>
      <c r="J121" s="2" t="b">
        <f>Table1[[#This Row],[Login_Time]]&lt;Table1[[#This Row],[Logout_Time]]</f>
        <v>0</v>
      </c>
    </row>
    <row r="122" spans="1:10" ht="15" customHeight="1">
      <c r="A122" s="2" t="s">
        <v>202</v>
      </c>
      <c r="B122" s="3">
        <v>45666</v>
      </c>
      <c r="C122" s="2" t="s">
        <v>194</v>
      </c>
      <c r="D122" s="2" t="s">
        <v>42</v>
      </c>
      <c r="E122" s="15" t="s">
        <v>53</v>
      </c>
      <c r="F122" s="15" t="s">
        <v>96</v>
      </c>
      <c r="G122" s="2" t="s">
        <v>11</v>
      </c>
      <c r="H122" t="str">
        <f>_xlfn.CONCAT(Table1[[#This Row],[Attendance_ID]],Table1[[#This Row],[Date]],Table1[[#This Row],[Employee_ID]])</f>
        <v>ATT0037845666EMP1012</v>
      </c>
      <c r="I122" s="12" t="e">
        <f>VLOOKUP(Table1[[#This Row],[Employee_ID]],[1]!Table1[[Employee_ID]:[Employee_Name]],2,0)</f>
        <v>#REF!</v>
      </c>
      <c r="J122" s="2" t="b">
        <f>Table1[[#This Row],[Login_Time]]&lt;Table1[[#This Row],[Logout_Time]]</f>
        <v>1</v>
      </c>
    </row>
    <row r="123" spans="1:10" ht="15" customHeight="1">
      <c r="A123" s="2" t="s">
        <v>203</v>
      </c>
      <c r="B123" s="3">
        <v>45701</v>
      </c>
      <c r="C123" s="2" t="s">
        <v>194</v>
      </c>
      <c r="D123" s="2" t="s">
        <v>9</v>
      </c>
      <c r="E123" s="15" t="s">
        <v>115</v>
      </c>
      <c r="F123" s="15" t="s">
        <v>113</v>
      </c>
      <c r="G123" s="2" t="s">
        <v>21</v>
      </c>
      <c r="H123" t="str">
        <f>_xlfn.CONCAT(Table1[[#This Row],[Attendance_ID]],Table1[[#This Row],[Date]],Table1[[#This Row],[Employee_ID]])</f>
        <v>ATT0042845701EMP1012</v>
      </c>
      <c r="I123" s="12" t="e">
        <f>VLOOKUP(Table1[[#This Row],[Employee_ID]],[1]!Table1[[Employee_ID]:[Employee_Name]],2,0)</f>
        <v>#REF!</v>
      </c>
      <c r="J123" s="2" t="b">
        <f>Table1[[#This Row],[Login_Time]]&lt;Table1[[#This Row],[Logout_Time]]</f>
        <v>1</v>
      </c>
    </row>
    <row r="124" spans="1:10" ht="15" customHeight="1">
      <c r="A124" s="2" t="s">
        <v>204</v>
      </c>
      <c r="B124" s="3">
        <v>45686</v>
      </c>
      <c r="C124" s="2" t="s">
        <v>194</v>
      </c>
      <c r="D124" s="2" t="s">
        <v>9</v>
      </c>
      <c r="E124" s="15" t="s">
        <v>13</v>
      </c>
      <c r="F124" s="15" t="s">
        <v>35</v>
      </c>
      <c r="G124" s="2" t="s">
        <v>11</v>
      </c>
      <c r="H124" t="str">
        <f>_xlfn.CONCAT(Table1[[#This Row],[Attendance_ID]],Table1[[#This Row],[Date]],Table1[[#This Row],[Employee_ID]])</f>
        <v>ATT0047845686EMP1012</v>
      </c>
      <c r="I124" s="12" t="e">
        <f>VLOOKUP(Table1[[#This Row],[Employee_ID]],[1]!Table1[[Employee_ID]:[Employee_Name]],2,0)</f>
        <v>#REF!</v>
      </c>
      <c r="J124" s="2" t="b">
        <f>Table1[[#This Row],[Login_Time]]&lt;Table1[[#This Row],[Logout_Time]]</f>
        <v>1</v>
      </c>
    </row>
    <row r="125" spans="1:10" ht="15" hidden="1" customHeight="1">
      <c r="A125" s="2" t="s">
        <v>205</v>
      </c>
      <c r="B125" s="3">
        <v>45740</v>
      </c>
      <c r="C125" s="2" t="s">
        <v>206</v>
      </c>
      <c r="D125" s="2" t="s">
        <v>70</v>
      </c>
      <c r="E125" s="15"/>
      <c r="F125" s="15"/>
      <c r="G125" s="2" t="s">
        <v>11</v>
      </c>
      <c r="H125" t="str">
        <f>_xlfn.CONCAT(Table1[[#This Row],[Attendance_ID]],Table1[[#This Row],[Date]],Table1[[#This Row],[Employee_ID]])</f>
        <v>ATT0002945740EMP1013</v>
      </c>
      <c r="I125" s="12" t="e">
        <f>VLOOKUP(Table1[[#This Row],[Employee_ID]],[1]!Table1[[Employee_ID]:[Employee_Name]],2,0)</f>
        <v>#REF!</v>
      </c>
      <c r="J125" s="2" t="b">
        <f>Table1[[#This Row],[Login_Time]]&lt;Table1[[#This Row],[Logout_Time]]</f>
        <v>0</v>
      </c>
    </row>
    <row r="126" spans="1:10" ht="15" customHeight="1">
      <c r="A126" s="2" t="s">
        <v>207</v>
      </c>
      <c r="B126" s="3">
        <v>45676</v>
      </c>
      <c r="C126" s="2" t="s">
        <v>206</v>
      </c>
      <c r="D126" s="2" t="s">
        <v>9</v>
      </c>
      <c r="E126" s="15" t="s">
        <v>40</v>
      </c>
      <c r="F126" s="15" t="s">
        <v>78</v>
      </c>
      <c r="G126" s="2" t="s">
        <v>11</v>
      </c>
      <c r="H126" t="str">
        <f>_xlfn.CONCAT(Table1[[#This Row],[Attendance_ID]],Table1[[#This Row],[Date]],Table1[[#This Row],[Employee_ID]])</f>
        <v>ATT0007945676EMP1013</v>
      </c>
      <c r="I126" s="12" t="e">
        <f>VLOOKUP(Table1[[#This Row],[Employee_ID]],[1]!Table1[[Employee_ID]:[Employee_Name]],2,0)</f>
        <v>#REF!</v>
      </c>
      <c r="J126" s="2" t="b">
        <f>Table1[[#This Row],[Login_Time]]&lt;Table1[[#This Row],[Logout_Time]]</f>
        <v>1</v>
      </c>
    </row>
    <row r="127" spans="1:10" ht="15" hidden="1" customHeight="1">
      <c r="A127" s="2" t="s">
        <v>208</v>
      </c>
      <c r="B127" s="3">
        <v>45716</v>
      </c>
      <c r="C127" s="2" t="s">
        <v>206</v>
      </c>
      <c r="D127" s="2" t="s">
        <v>70</v>
      </c>
      <c r="E127" s="15"/>
      <c r="F127" s="15"/>
      <c r="G127" s="2" t="s">
        <v>11</v>
      </c>
      <c r="H127" t="str">
        <f>_xlfn.CONCAT(Table1[[#This Row],[Attendance_ID]],Table1[[#This Row],[Date]],Table1[[#This Row],[Employee_ID]])</f>
        <v>ATT0012945716EMP1013</v>
      </c>
      <c r="I127" s="12" t="e">
        <f>VLOOKUP(Table1[[#This Row],[Employee_ID]],[1]!Table1[[Employee_ID]:[Employee_Name]],2,0)</f>
        <v>#REF!</v>
      </c>
      <c r="J127" s="2" t="b">
        <f>Table1[[#This Row],[Login_Time]]&lt;Table1[[#This Row],[Logout_Time]]</f>
        <v>0</v>
      </c>
    </row>
    <row r="128" spans="1:10" ht="15" customHeight="1">
      <c r="A128" s="2" t="s">
        <v>209</v>
      </c>
      <c r="B128" s="3">
        <v>45709</v>
      </c>
      <c r="C128" s="2" t="s">
        <v>206</v>
      </c>
      <c r="D128" s="2" t="s">
        <v>42</v>
      </c>
      <c r="E128" s="15" t="s">
        <v>31</v>
      </c>
      <c r="F128" s="15" t="s">
        <v>92</v>
      </c>
      <c r="G128" s="2" t="s">
        <v>21</v>
      </c>
      <c r="H128" t="str">
        <f>_xlfn.CONCAT(Table1[[#This Row],[Attendance_ID]],Table1[[#This Row],[Date]],Table1[[#This Row],[Employee_ID]])</f>
        <v>ATT0017945709EMP1013</v>
      </c>
      <c r="I128" s="12" t="e">
        <f>VLOOKUP(Table1[[#This Row],[Employee_ID]],[1]!Table1[[Employee_ID]:[Employee_Name]],2,0)</f>
        <v>#REF!</v>
      </c>
      <c r="J128" s="2" t="b">
        <f>Table1[[#This Row],[Login_Time]]&lt;Table1[[#This Row],[Logout_Time]]</f>
        <v>1</v>
      </c>
    </row>
    <row r="129" spans="1:10" ht="15" customHeight="1">
      <c r="A129" s="2" t="s">
        <v>210</v>
      </c>
      <c r="B129" s="3">
        <v>45731</v>
      </c>
      <c r="C129" s="2" t="s">
        <v>206</v>
      </c>
      <c r="D129" s="2" t="s">
        <v>9</v>
      </c>
      <c r="E129" s="15" t="s">
        <v>40</v>
      </c>
      <c r="F129" s="15" t="s">
        <v>211</v>
      </c>
      <c r="G129" s="2" t="s">
        <v>11</v>
      </c>
      <c r="H129" t="str">
        <f>_xlfn.CONCAT(Table1[[#This Row],[Attendance_ID]],Table1[[#This Row],[Date]],Table1[[#This Row],[Employee_ID]])</f>
        <v>ATT0022945731EMP1013</v>
      </c>
      <c r="I129" s="12" t="e">
        <f>VLOOKUP(Table1[[#This Row],[Employee_ID]],[1]!Table1[[Employee_ID]:[Employee_Name]],2,0)</f>
        <v>#REF!</v>
      </c>
      <c r="J129" s="2" t="b">
        <f>Table1[[#This Row],[Login_Time]]&lt;Table1[[#This Row],[Logout_Time]]</f>
        <v>1</v>
      </c>
    </row>
    <row r="130" spans="1:10" ht="15" customHeight="1">
      <c r="A130" s="2" t="s">
        <v>212</v>
      </c>
      <c r="B130" s="3">
        <v>45660</v>
      </c>
      <c r="C130" s="2" t="s">
        <v>206</v>
      </c>
      <c r="D130" s="2" t="s">
        <v>42</v>
      </c>
      <c r="E130" s="15" t="s">
        <v>61</v>
      </c>
      <c r="F130" s="15" t="s">
        <v>55</v>
      </c>
      <c r="G130" s="2" t="s">
        <v>21</v>
      </c>
      <c r="H130" t="str">
        <f>_xlfn.CONCAT(Table1[[#This Row],[Attendance_ID]],Table1[[#This Row],[Date]],Table1[[#This Row],[Employee_ID]])</f>
        <v>ATT0027945660EMP1013</v>
      </c>
      <c r="I130" s="12" t="e">
        <f>VLOOKUP(Table1[[#This Row],[Employee_ID]],[1]!Table1[[Employee_ID]:[Employee_Name]],2,0)</f>
        <v>#REF!</v>
      </c>
      <c r="J130" s="2" t="b">
        <f>Table1[[#This Row],[Login_Time]]&lt;Table1[[#This Row],[Logout_Time]]</f>
        <v>1</v>
      </c>
    </row>
    <row r="131" spans="1:10" ht="15" customHeight="1">
      <c r="A131" s="2" t="s">
        <v>213</v>
      </c>
      <c r="B131" s="3">
        <v>45701</v>
      </c>
      <c r="C131" s="2" t="s">
        <v>206</v>
      </c>
      <c r="D131" s="2" t="s">
        <v>42</v>
      </c>
      <c r="E131" s="15" t="s">
        <v>13</v>
      </c>
      <c r="F131" s="15" t="s">
        <v>127</v>
      </c>
      <c r="G131" s="2" t="s">
        <v>11</v>
      </c>
      <c r="H131" t="str">
        <f>_xlfn.CONCAT(Table1[[#This Row],[Attendance_ID]],Table1[[#This Row],[Date]],Table1[[#This Row],[Employee_ID]])</f>
        <v>ATT0032945701EMP1013</v>
      </c>
      <c r="I131" s="12" t="e">
        <f>VLOOKUP(Table1[[#This Row],[Employee_ID]],[1]!Table1[[Employee_ID]:[Employee_Name]],2,0)</f>
        <v>#REF!</v>
      </c>
      <c r="J131" s="2" t="b">
        <f>Table1[[#This Row],[Login_Time]]&lt;Table1[[#This Row],[Logout_Time]]</f>
        <v>1</v>
      </c>
    </row>
    <row r="132" spans="1:10" ht="15" hidden="1" customHeight="1">
      <c r="A132" s="2" t="s">
        <v>214</v>
      </c>
      <c r="B132" s="3">
        <v>45716</v>
      </c>
      <c r="C132" s="2" t="s">
        <v>206</v>
      </c>
      <c r="D132" s="2" t="s">
        <v>70</v>
      </c>
      <c r="E132" s="15"/>
      <c r="F132" s="15"/>
      <c r="G132" s="2" t="s">
        <v>11</v>
      </c>
      <c r="H132" t="str">
        <f>_xlfn.CONCAT(Table1[[#This Row],[Attendance_ID]],Table1[[#This Row],[Date]],Table1[[#This Row],[Employee_ID]])</f>
        <v>ATT0037945716EMP1013</v>
      </c>
      <c r="I132" s="12" t="e">
        <f>VLOOKUP(Table1[[#This Row],[Employee_ID]],[1]!Table1[[Employee_ID]:[Employee_Name]],2,0)</f>
        <v>#REF!</v>
      </c>
      <c r="J132" s="2" t="b">
        <f>Table1[[#This Row],[Login_Time]]&lt;Table1[[#This Row],[Logout_Time]]</f>
        <v>0</v>
      </c>
    </row>
    <row r="133" spans="1:10" ht="15" customHeight="1">
      <c r="A133" s="2" t="s">
        <v>215</v>
      </c>
      <c r="B133" s="3">
        <v>45677</v>
      </c>
      <c r="C133" s="2" t="s">
        <v>206</v>
      </c>
      <c r="D133" s="2" t="s">
        <v>42</v>
      </c>
      <c r="E133" s="15" t="s">
        <v>57</v>
      </c>
      <c r="F133" s="15" t="s">
        <v>211</v>
      </c>
      <c r="G133" s="2" t="s">
        <v>11</v>
      </c>
      <c r="H133" t="str">
        <f>_xlfn.CONCAT(Table1[[#This Row],[Attendance_ID]],Table1[[#This Row],[Date]],Table1[[#This Row],[Employee_ID]])</f>
        <v>ATT0042945677EMP1013</v>
      </c>
      <c r="I133" s="12" t="e">
        <f>VLOOKUP(Table1[[#This Row],[Employee_ID]],[1]!Table1[[Employee_ID]:[Employee_Name]],2,0)</f>
        <v>#REF!</v>
      </c>
      <c r="J133" s="2" t="b">
        <f>Table1[[#This Row],[Login_Time]]&lt;Table1[[#This Row],[Logout_Time]]</f>
        <v>1</v>
      </c>
    </row>
    <row r="134" spans="1:10" ht="15" customHeight="1">
      <c r="A134" s="2" t="s">
        <v>216</v>
      </c>
      <c r="B134" s="3">
        <v>45746</v>
      </c>
      <c r="C134" s="2" t="s">
        <v>206</v>
      </c>
      <c r="D134" s="2" t="s">
        <v>42</v>
      </c>
      <c r="E134" s="15" t="s">
        <v>50</v>
      </c>
      <c r="F134" s="15" t="s">
        <v>101</v>
      </c>
      <c r="G134" s="2" t="s">
        <v>21</v>
      </c>
      <c r="H134" t="str">
        <f>_xlfn.CONCAT(Table1[[#This Row],[Attendance_ID]],Table1[[#This Row],[Date]],Table1[[#This Row],[Employee_ID]])</f>
        <v>ATT0047945746EMP1013</v>
      </c>
      <c r="I134" s="12" t="e">
        <f>VLOOKUP(Table1[[#This Row],[Employee_ID]],[1]!Table1[[Employee_ID]:[Employee_Name]],2,0)</f>
        <v>#REF!</v>
      </c>
      <c r="J134" s="2" t="b">
        <f>Table1[[#This Row],[Login_Time]]&lt;Table1[[#This Row],[Logout_Time]]</f>
        <v>1</v>
      </c>
    </row>
    <row r="135" spans="1:10" ht="15" hidden="1" customHeight="1">
      <c r="A135" s="2" t="s">
        <v>217</v>
      </c>
      <c r="B135" s="3">
        <v>45731</v>
      </c>
      <c r="C135" s="2" t="s">
        <v>218</v>
      </c>
      <c r="D135" s="2" t="s">
        <v>26</v>
      </c>
      <c r="E135" s="15"/>
      <c r="F135" s="15"/>
      <c r="G135" s="2" t="s">
        <v>11</v>
      </c>
      <c r="H135" t="str">
        <f>_xlfn.CONCAT(Table1[[#This Row],[Attendance_ID]],Table1[[#This Row],[Date]],Table1[[#This Row],[Employee_ID]])</f>
        <v>ATT0003045731EMP1014</v>
      </c>
      <c r="I135" s="12" t="e">
        <f>VLOOKUP(Table1[[#This Row],[Employee_ID]],[1]!Table1[[Employee_ID]:[Employee_Name]],2,0)</f>
        <v>#REF!</v>
      </c>
      <c r="J135" s="2" t="b">
        <f>Table1[[#This Row],[Login_Time]]&lt;Table1[[#This Row],[Logout_Time]]</f>
        <v>0</v>
      </c>
    </row>
    <row r="136" spans="1:10" ht="15" customHeight="1">
      <c r="A136" s="2" t="s">
        <v>219</v>
      </c>
      <c r="B136" s="3">
        <v>45711</v>
      </c>
      <c r="C136" s="2" t="s">
        <v>218</v>
      </c>
      <c r="D136" s="2" t="s">
        <v>9</v>
      </c>
      <c r="E136" s="15" t="s">
        <v>158</v>
      </c>
      <c r="F136" s="15" t="s">
        <v>68</v>
      </c>
      <c r="G136" s="2" t="s">
        <v>11</v>
      </c>
      <c r="H136" t="str">
        <f>_xlfn.CONCAT(Table1[[#This Row],[Attendance_ID]],Table1[[#This Row],[Date]],Table1[[#This Row],[Employee_ID]])</f>
        <v>ATT0008045711EMP1014</v>
      </c>
      <c r="I136" s="12" t="e">
        <f>VLOOKUP(Table1[[#This Row],[Employee_ID]],[1]!Table1[[Employee_ID]:[Employee_Name]],2,0)</f>
        <v>#REF!</v>
      </c>
      <c r="J136" s="2" t="b">
        <f>Table1[[#This Row],[Login_Time]]&lt;Table1[[#This Row],[Logout_Time]]</f>
        <v>1</v>
      </c>
    </row>
    <row r="137" spans="1:10" ht="15" customHeight="1">
      <c r="A137" s="2" t="s">
        <v>220</v>
      </c>
      <c r="B137" s="3">
        <v>45701</v>
      </c>
      <c r="C137" s="2" t="s">
        <v>218</v>
      </c>
      <c r="D137" s="2" t="s">
        <v>9</v>
      </c>
      <c r="E137" s="15" t="s">
        <v>89</v>
      </c>
      <c r="F137" s="15" t="s">
        <v>90</v>
      </c>
      <c r="G137" s="2" t="s">
        <v>21</v>
      </c>
      <c r="H137" t="str">
        <f>_xlfn.CONCAT(Table1[[#This Row],[Attendance_ID]],Table1[[#This Row],[Date]],Table1[[#This Row],[Employee_ID]])</f>
        <v>ATT0013045701EMP1014</v>
      </c>
      <c r="I137" s="12" t="e">
        <f>VLOOKUP(Table1[[#This Row],[Employee_ID]],[1]!Table1[[Employee_ID]:[Employee_Name]],2,0)</f>
        <v>#REF!</v>
      </c>
      <c r="J137" s="2" t="b">
        <f>Table1[[#This Row],[Login_Time]]&lt;Table1[[#This Row],[Logout_Time]]</f>
        <v>1</v>
      </c>
    </row>
    <row r="138" spans="1:10" ht="15" customHeight="1">
      <c r="A138" s="2" t="s">
        <v>221</v>
      </c>
      <c r="B138" s="3">
        <v>45722</v>
      </c>
      <c r="C138" s="2" t="s">
        <v>218</v>
      </c>
      <c r="D138" s="2" t="s">
        <v>9</v>
      </c>
      <c r="E138" s="15" t="s">
        <v>158</v>
      </c>
      <c r="F138" s="15" t="s">
        <v>127</v>
      </c>
      <c r="G138" s="2" t="s">
        <v>11</v>
      </c>
      <c r="H138" t="str">
        <f>_xlfn.CONCAT(Table1[[#This Row],[Attendance_ID]],Table1[[#This Row],[Date]],Table1[[#This Row],[Employee_ID]])</f>
        <v>ATT0018045722EMP1014</v>
      </c>
      <c r="I138" s="12" t="e">
        <f>VLOOKUP(Table1[[#This Row],[Employee_ID]],[1]!Table1[[Employee_ID]:[Employee_Name]],2,0)</f>
        <v>#REF!</v>
      </c>
      <c r="J138" s="2" t="b">
        <f>Table1[[#This Row],[Login_Time]]&lt;Table1[[#This Row],[Logout_Time]]</f>
        <v>1</v>
      </c>
    </row>
    <row r="139" spans="1:10" ht="15" hidden="1" customHeight="1">
      <c r="A139" s="2" t="s">
        <v>222</v>
      </c>
      <c r="B139" s="3">
        <v>45675</v>
      </c>
      <c r="C139" s="2" t="s">
        <v>218</v>
      </c>
      <c r="D139" s="2" t="s">
        <v>70</v>
      </c>
      <c r="E139" s="15"/>
      <c r="F139" s="15"/>
      <c r="G139" s="2" t="s">
        <v>11</v>
      </c>
      <c r="H139" t="str">
        <f>_xlfn.CONCAT(Table1[[#This Row],[Attendance_ID]],Table1[[#This Row],[Date]],Table1[[#This Row],[Employee_ID]])</f>
        <v>ATT0023045675EMP1014</v>
      </c>
      <c r="I139" s="12" t="e">
        <f>VLOOKUP(Table1[[#This Row],[Employee_ID]],[1]!Table1[[Employee_ID]:[Employee_Name]],2,0)</f>
        <v>#REF!</v>
      </c>
      <c r="J139" s="2" t="b">
        <f>Table1[[#This Row],[Login_Time]]&lt;Table1[[#This Row],[Logout_Time]]</f>
        <v>0</v>
      </c>
    </row>
    <row r="140" spans="1:10" ht="15" customHeight="1">
      <c r="A140" s="2" t="s">
        <v>223</v>
      </c>
      <c r="B140" s="3">
        <v>45704</v>
      </c>
      <c r="C140" s="2" t="s">
        <v>218</v>
      </c>
      <c r="D140" s="2" t="s">
        <v>42</v>
      </c>
      <c r="E140" s="15" t="s">
        <v>28</v>
      </c>
      <c r="F140" s="15" t="s">
        <v>165</v>
      </c>
      <c r="G140" s="2" t="s">
        <v>21</v>
      </c>
      <c r="H140" t="str">
        <f>_xlfn.CONCAT(Table1[[#This Row],[Attendance_ID]],Table1[[#This Row],[Date]],Table1[[#This Row],[Employee_ID]])</f>
        <v>ATT0028045704EMP1014</v>
      </c>
      <c r="I140" s="12" t="e">
        <f>VLOOKUP(Table1[[#This Row],[Employee_ID]],[1]!Table1[[Employee_ID]:[Employee_Name]],2,0)</f>
        <v>#REF!</v>
      </c>
      <c r="J140" s="2" t="b">
        <f>Table1[[#This Row],[Login_Time]]&lt;Table1[[#This Row],[Logout_Time]]</f>
        <v>1</v>
      </c>
    </row>
    <row r="141" spans="1:10" ht="15" customHeight="1">
      <c r="A141" s="2" t="s">
        <v>224</v>
      </c>
      <c r="B141" s="3">
        <v>45684</v>
      </c>
      <c r="C141" s="2" t="s">
        <v>218</v>
      </c>
      <c r="D141" s="2" t="s">
        <v>9</v>
      </c>
      <c r="E141" s="15" t="s">
        <v>100</v>
      </c>
      <c r="F141" s="15" t="s">
        <v>68</v>
      </c>
      <c r="G141" s="2" t="s">
        <v>11</v>
      </c>
      <c r="H141" t="str">
        <f>_xlfn.CONCAT(Table1[[#This Row],[Attendance_ID]],Table1[[#This Row],[Date]],Table1[[#This Row],[Employee_ID]])</f>
        <v>ATT0033045684EMP1014</v>
      </c>
      <c r="I141" s="12" t="e">
        <f>VLOOKUP(Table1[[#This Row],[Employee_ID]],[1]!Table1[[Employee_ID]:[Employee_Name]],2,0)</f>
        <v>#REF!</v>
      </c>
      <c r="J141" s="2" t="b">
        <f>Table1[[#This Row],[Login_Time]]&lt;Table1[[#This Row],[Logout_Time]]</f>
        <v>1</v>
      </c>
    </row>
    <row r="142" spans="1:10" ht="15" customHeight="1">
      <c r="A142" s="2" t="s">
        <v>225</v>
      </c>
      <c r="B142" s="3">
        <v>45705</v>
      </c>
      <c r="C142" s="2" t="s">
        <v>218</v>
      </c>
      <c r="D142" s="2" t="s">
        <v>42</v>
      </c>
      <c r="E142" s="15" t="s">
        <v>226</v>
      </c>
      <c r="F142" s="15" t="s">
        <v>103</v>
      </c>
      <c r="G142" s="2" t="s">
        <v>11</v>
      </c>
      <c r="H142" t="str">
        <f>_xlfn.CONCAT(Table1[[#This Row],[Attendance_ID]],Table1[[#This Row],[Date]],Table1[[#This Row],[Employee_ID]])</f>
        <v>ATT0038045705EMP1014</v>
      </c>
      <c r="I142" s="12" t="e">
        <f>VLOOKUP(Table1[[#This Row],[Employee_ID]],[1]!Table1[[Employee_ID]:[Employee_Name]],2,0)</f>
        <v>#REF!</v>
      </c>
      <c r="J142" s="2" t="b">
        <f>Table1[[#This Row],[Login_Time]]&lt;Table1[[#This Row],[Logout_Time]]</f>
        <v>1</v>
      </c>
    </row>
    <row r="143" spans="1:10" ht="15" customHeight="1">
      <c r="A143" s="2" t="s">
        <v>227</v>
      </c>
      <c r="B143" s="3">
        <v>45673</v>
      </c>
      <c r="C143" s="2" t="s">
        <v>218</v>
      </c>
      <c r="D143" s="2" t="s">
        <v>42</v>
      </c>
      <c r="E143" s="15" t="s">
        <v>16</v>
      </c>
      <c r="F143" s="15" t="s">
        <v>110</v>
      </c>
      <c r="G143" s="2" t="s">
        <v>11</v>
      </c>
      <c r="H143" t="str">
        <f>_xlfn.CONCAT(Table1[[#This Row],[Attendance_ID]],Table1[[#This Row],[Date]],Table1[[#This Row],[Employee_ID]])</f>
        <v>ATT0043045673EMP1014</v>
      </c>
      <c r="I143" s="12" t="e">
        <f>VLOOKUP(Table1[[#This Row],[Employee_ID]],[1]!Table1[[Employee_ID]:[Employee_Name]],2,0)</f>
        <v>#REF!</v>
      </c>
      <c r="J143" s="2" t="b">
        <f>Table1[[#This Row],[Login_Time]]&lt;Table1[[#This Row],[Logout_Time]]</f>
        <v>1</v>
      </c>
    </row>
    <row r="144" spans="1:10" ht="15" customHeight="1">
      <c r="A144" s="2" t="s">
        <v>228</v>
      </c>
      <c r="B144" s="3">
        <v>45685</v>
      </c>
      <c r="C144" s="2" t="s">
        <v>218</v>
      </c>
      <c r="D144" s="2" t="s">
        <v>9</v>
      </c>
      <c r="E144" s="15" t="s">
        <v>31</v>
      </c>
      <c r="F144" s="15" t="s">
        <v>113</v>
      </c>
      <c r="G144" s="2" t="s">
        <v>21</v>
      </c>
      <c r="H144" t="str">
        <f>_xlfn.CONCAT(Table1[[#This Row],[Attendance_ID]],Table1[[#This Row],[Date]],Table1[[#This Row],[Employee_ID]])</f>
        <v>ATT0048045685EMP1014</v>
      </c>
      <c r="I144" s="12" t="e">
        <f>VLOOKUP(Table1[[#This Row],[Employee_ID]],[1]!Table1[[Employee_ID]:[Employee_Name]],2,0)</f>
        <v>#REF!</v>
      </c>
      <c r="J144" s="2" t="b">
        <f>Table1[[#This Row],[Login_Time]]&lt;Table1[[#This Row],[Logout_Time]]</f>
        <v>1</v>
      </c>
    </row>
    <row r="145" spans="1:10" ht="15" customHeight="1">
      <c r="A145" s="2" t="s">
        <v>229</v>
      </c>
      <c r="B145" s="3">
        <v>45700</v>
      </c>
      <c r="C145" s="2" t="s">
        <v>230</v>
      </c>
      <c r="D145" s="2" t="s">
        <v>9</v>
      </c>
      <c r="E145" s="15" t="s">
        <v>50</v>
      </c>
      <c r="F145" s="15" t="s">
        <v>24</v>
      </c>
      <c r="G145" s="2" t="s">
        <v>21</v>
      </c>
      <c r="H145" t="str">
        <f>_xlfn.CONCAT(Table1[[#This Row],[Attendance_ID]],Table1[[#This Row],[Date]],Table1[[#This Row],[Employee_ID]])</f>
        <v>ATT0003145700EMP1015</v>
      </c>
      <c r="I145" s="12" t="e">
        <f>VLOOKUP(Table1[[#This Row],[Employee_ID]],[1]!Table1[[Employee_ID]:[Employee_Name]],2,0)</f>
        <v>#REF!</v>
      </c>
      <c r="J145" s="2" t="b">
        <f>Table1[[#This Row],[Login_Time]]&lt;Table1[[#This Row],[Logout_Time]]</f>
        <v>1</v>
      </c>
    </row>
    <row r="146" spans="1:10" ht="15" customHeight="1">
      <c r="A146" s="2" t="s">
        <v>231</v>
      </c>
      <c r="B146" s="3">
        <v>45737</v>
      </c>
      <c r="C146" s="2" t="s">
        <v>230</v>
      </c>
      <c r="D146" s="2" t="s">
        <v>9</v>
      </c>
      <c r="E146" s="15" t="s">
        <v>105</v>
      </c>
      <c r="F146" s="15" t="s">
        <v>32</v>
      </c>
      <c r="G146" s="2" t="s">
        <v>21</v>
      </c>
      <c r="H146" t="str">
        <f>_xlfn.CONCAT(Table1[[#This Row],[Attendance_ID]],Table1[[#This Row],[Date]],Table1[[#This Row],[Employee_ID]])</f>
        <v>ATT0008145737EMP1015</v>
      </c>
      <c r="I146" s="12" t="e">
        <f>VLOOKUP(Table1[[#This Row],[Employee_ID]],[1]!Table1[[Employee_ID]:[Employee_Name]],2,0)</f>
        <v>#REF!</v>
      </c>
      <c r="J146" s="2" t="b">
        <f>Table1[[#This Row],[Login_Time]]&lt;Table1[[#This Row],[Logout_Time]]</f>
        <v>1</v>
      </c>
    </row>
    <row r="147" spans="1:10" ht="15" customHeight="1">
      <c r="A147" s="2" t="s">
        <v>232</v>
      </c>
      <c r="B147" s="3">
        <v>45745</v>
      </c>
      <c r="C147" s="2" t="s">
        <v>230</v>
      </c>
      <c r="D147" s="2" t="s">
        <v>9</v>
      </c>
      <c r="E147" s="15" t="s">
        <v>80</v>
      </c>
      <c r="F147" s="15" t="s">
        <v>165</v>
      </c>
      <c r="G147" s="2" t="s">
        <v>21</v>
      </c>
      <c r="H147" t="str">
        <f>_xlfn.CONCAT(Table1[[#This Row],[Attendance_ID]],Table1[[#This Row],[Date]],Table1[[#This Row],[Employee_ID]])</f>
        <v>ATT0013145745EMP1015</v>
      </c>
      <c r="I147" s="12" t="e">
        <f>VLOOKUP(Table1[[#This Row],[Employee_ID]],[1]!Table1[[Employee_ID]:[Employee_Name]],2,0)</f>
        <v>#REF!</v>
      </c>
      <c r="J147" s="2" t="b">
        <f>Table1[[#This Row],[Login_Time]]&lt;Table1[[#This Row],[Logout_Time]]</f>
        <v>1</v>
      </c>
    </row>
    <row r="148" spans="1:10" ht="15" customHeight="1">
      <c r="A148" s="2" t="s">
        <v>233</v>
      </c>
      <c r="B148" s="3">
        <v>45737</v>
      </c>
      <c r="C148" s="2" t="s">
        <v>230</v>
      </c>
      <c r="D148" s="2" t="s">
        <v>9</v>
      </c>
      <c r="E148" s="15" t="s">
        <v>61</v>
      </c>
      <c r="F148" s="15" t="s">
        <v>75</v>
      </c>
      <c r="G148" s="2" t="s">
        <v>21</v>
      </c>
      <c r="H148" t="str">
        <f>_xlfn.CONCAT(Table1[[#This Row],[Attendance_ID]],Table1[[#This Row],[Date]],Table1[[#This Row],[Employee_ID]])</f>
        <v>ATT0018145737EMP1015</v>
      </c>
      <c r="I148" s="12" t="e">
        <f>VLOOKUP(Table1[[#This Row],[Employee_ID]],[1]!Table1[[Employee_ID]:[Employee_Name]],2,0)</f>
        <v>#REF!</v>
      </c>
      <c r="J148" s="2" t="b">
        <f>Table1[[#This Row],[Login_Time]]&lt;Table1[[#This Row],[Logout_Time]]</f>
        <v>1</v>
      </c>
    </row>
    <row r="149" spans="1:10" ht="15" customHeight="1">
      <c r="A149" s="2" t="s">
        <v>234</v>
      </c>
      <c r="B149" s="3">
        <v>45679</v>
      </c>
      <c r="C149" s="2" t="s">
        <v>230</v>
      </c>
      <c r="D149" s="2" t="s">
        <v>9</v>
      </c>
      <c r="E149" s="15" t="s">
        <v>108</v>
      </c>
      <c r="F149" s="15" t="s">
        <v>29</v>
      </c>
      <c r="G149" s="2" t="s">
        <v>11</v>
      </c>
      <c r="H149" t="str">
        <f>_xlfn.CONCAT(Table1[[#This Row],[Attendance_ID]],Table1[[#This Row],[Date]],Table1[[#This Row],[Employee_ID]])</f>
        <v>ATT0023145679EMP1015</v>
      </c>
      <c r="I149" s="12" t="e">
        <f>VLOOKUP(Table1[[#This Row],[Employee_ID]],[1]!Table1[[Employee_ID]:[Employee_Name]],2,0)</f>
        <v>#REF!</v>
      </c>
      <c r="J149" s="2" t="b">
        <f>Table1[[#This Row],[Login_Time]]&lt;Table1[[#This Row],[Logout_Time]]</f>
        <v>1</v>
      </c>
    </row>
    <row r="150" spans="1:10" ht="15" customHeight="1">
      <c r="A150" s="2" t="s">
        <v>235</v>
      </c>
      <c r="B150" s="3">
        <v>45681</v>
      </c>
      <c r="C150" s="2" t="s">
        <v>230</v>
      </c>
      <c r="D150" s="2" t="s">
        <v>9</v>
      </c>
      <c r="E150" s="15" t="s">
        <v>31</v>
      </c>
      <c r="F150" s="15" t="s">
        <v>72</v>
      </c>
      <c r="G150" s="2" t="s">
        <v>21</v>
      </c>
      <c r="H150" t="str">
        <f>_xlfn.CONCAT(Table1[[#This Row],[Attendance_ID]],Table1[[#This Row],[Date]],Table1[[#This Row],[Employee_ID]])</f>
        <v>ATT0028145681EMP1015</v>
      </c>
      <c r="I150" s="12" t="e">
        <f>VLOOKUP(Table1[[#This Row],[Employee_ID]],[1]!Table1[[Employee_ID]:[Employee_Name]],2,0)</f>
        <v>#REF!</v>
      </c>
      <c r="J150" s="2" t="b">
        <f>Table1[[#This Row],[Login_Time]]&lt;Table1[[#This Row],[Logout_Time]]</f>
        <v>1</v>
      </c>
    </row>
    <row r="151" spans="1:10" ht="15" hidden="1" customHeight="1">
      <c r="A151" s="2" t="s">
        <v>236</v>
      </c>
      <c r="B151" s="3">
        <v>45682</v>
      </c>
      <c r="C151" s="2" t="s">
        <v>230</v>
      </c>
      <c r="D151" s="2" t="s">
        <v>26</v>
      </c>
      <c r="E151" s="15"/>
      <c r="F151" s="15"/>
      <c r="G151" s="2" t="s">
        <v>11</v>
      </c>
      <c r="H151" t="str">
        <f>_xlfn.CONCAT(Table1[[#This Row],[Attendance_ID]],Table1[[#This Row],[Date]],Table1[[#This Row],[Employee_ID]])</f>
        <v>ATT0033145682EMP1015</v>
      </c>
      <c r="I151" s="12" t="e">
        <f>VLOOKUP(Table1[[#This Row],[Employee_ID]],[1]!Table1[[Employee_ID]:[Employee_Name]],2,0)</f>
        <v>#REF!</v>
      </c>
      <c r="J151" s="2" t="b">
        <f>Table1[[#This Row],[Login_Time]]&lt;Table1[[#This Row],[Logout_Time]]</f>
        <v>0</v>
      </c>
    </row>
    <row r="152" spans="1:10" ht="15" customHeight="1">
      <c r="A152" s="2" t="s">
        <v>237</v>
      </c>
      <c r="B152" s="3">
        <v>45676</v>
      </c>
      <c r="C152" s="2" t="s">
        <v>230</v>
      </c>
      <c r="D152" s="2" t="s">
        <v>42</v>
      </c>
      <c r="E152" s="15" t="s">
        <v>108</v>
      </c>
      <c r="F152" s="15" t="s">
        <v>29</v>
      </c>
      <c r="G152" s="2" t="s">
        <v>11</v>
      </c>
      <c r="H152" t="str">
        <f>_xlfn.CONCAT(Table1[[#This Row],[Attendance_ID]],Table1[[#This Row],[Date]],Table1[[#This Row],[Employee_ID]])</f>
        <v>ATT0038145676EMP1015</v>
      </c>
      <c r="I152" s="12" t="e">
        <f>VLOOKUP(Table1[[#This Row],[Employee_ID]],[1]!Table1[[Employee_ID]:[Employee_Name]],2,0)</f>
        <v>#REF!</v>
      </c>
      <c r="J152" s="2" t="b">
        <f>Table1[[#This Row],[Login_Time]]&lt;Table1[[#This Row],[Logout_Time]]</f>
        <v>1</v>
      </c>
    </row>
    <row r="153" spans="1:10" ht="15" hidden="1" customHeight="1">
      <c r="A153" s="2" t="s">
        <v>238</v>
      </c>
      <c r="B153" s="3">
        <v>45691</v>
      </c>
      <c r="C153" s="2" t="s">
        <v>230</v>
      </c>
      <c r="D153" s="2" t="s">
        <v>70</v>
      </c>
      <c r="E153" s="15"/>
      <c r="F153" s="15"/>
      <c r="G153" s="2" t="s">
        <v>11</v>
      </c>
      <c r="H153" t="str">
        <f>_xlfn.CONCAT(Table1[[#This Row],[Attendance_ID]],Table1[[#This Row],[Date]],Table1[[#This Row],[Employee_ID]])</f>
        <v>ATT0043145691EMP1015</v>
      </c>
      <c r="I153" s="12" t="e">
        <f>VLOOKUP(Table1[[#This Row],[Employee_ID]],[1]!Table1[[Employee_ID]:[Employee_Name]],2,0)</f>
        <v>#REF!</v>
      </c>
      <c r="J153" s="2" t="b">
        <f>Table1[[#This Row],[Login_Time]]&lt;Table1[[#This Row],[Logout_Time]]</f>
        <v>0</v>
      </c>
    </row>
    <row r="154" spans="1:10" ht="15" customHeight="1">
      <c r="A154" s="2" t="s">
        <v>239</v>
      </c>
      <c r="B154" s="3">
        <v>45685</v>
      </c>
      <c r="C154" s="2" t="s">
        <v>230</v>
      </c>
      <c r="D154" s="2" t="s">
        <v>9</v>
      </c>
      <c r="E154" s="15" t="s">
        <v>47</v>
      </c>
      <c r="F154" s="15" t="s">
        <v>37</v>
      </c>
      <c r="G154" s="2" t="s">
        <v>21</v>
      </c>
      <c r="H154" t="str">
        <f>_xlfn.CONCAT(Table1[[#This Row],[Attendance_ID]],Table1[[#This Row],[Date]],Table1[[#This Row],[Employee_ID]])</f>
        <v>ATT0048145685EMP1015</v>
      </c>
      <c r="I154" s="12" t="e">
        <f>VLOOKUP(Table1[[#This Row],[Employee_ID]],[1]!Table1[[Employee_ID]:[Employee_Name]],2,0)</f>
        <v>#REF!</v>
      </c>
      <c r="J154" s="2" t="b">
        <f>Table1[[#This Row],[Login_Time]]&lt;Table1[[#This Row],[Logout_Time]]</f>
        <v>1</v>
      </c>
    </row>
    <row r="155" spans="1:10" ht="15" customHeight="1">
      <c r="A155" s="2" t="s">
        <v>240</v>
      </c>
      <c r="B155" s="3">
        <v>45720</v>
      </c>
      <c r="C155" s="2" t="s">
        <v>241</v>
      </c>
      <c r="D155" s="2" t="s">
        <v>9</v>
      </c>
      <c r="E155" s="15" t="s">
        <v>23</v>
      </c>
      <c r="F155" s="15" t="s">
        <v>101</v>
      </c>
      <c r="G155" s="2" t="s">
        <v>11</v>
      </c>
      <c r="H155" t="str">
        <f>_xlfn.CONCAT(Table1[[#This Row],[Attendance_ID]],Table1[[#This Row],[Date]],Table1[[#This Row],[Employee_ID]])</f>
        <v>ATT0003245720EMP1016</v>
      </c>
      <c r="I155" s="12" t="e">
        <f>VLOOKUP(Table1[[#This Row],[Employee_ID]],[1]!Table1[[Employee_ID]:[Employee_Name]],2,0)</f>
        <v>#REF!</v>
      </c>
      <c r="J155" s="2" t="b">
        <f>Table1[[#This Row],[Login_Time]]&lt;Table1[[#This Row],[Logout_Time]]</f>
        <v>1</v>
      </c>
    </row>
    <row r="156" spans="1:10" ht="15" customHeight="1">
      <c r="A156" s="2" t="s">
        <v>242</v>
      </c>
      <c r="B156" s="3">
        <v>45714</v>
      </c>
      <c r="C156" s="2" t="s">
        <v>241</v>
      </c>
      <c r="D156" s="2" t="s">
        <v>42</v>
      </c>
      <c r="E156" s="15" t="s">
        <v>40</v>
      </c>
      <c r="F156" s="15" t="s">
        <v>17</v>
      </c>
      <c r="G156" s="2" t="s">
        <v>11</v>
      </c>
      <c r="H156" t="str">
        <f>_xlfn.CONCAT(Table1[[#This Row],[Attendance_ID]],Table1[[#This Row],[Date]],Table1[[#This Row],[Employee_ID]])</f>
        <v>ATT0008245714EMP1016</v>
      </c>
      <c r="I156" s="12" t="e">
        <f>VLOOKUP(Table1[[#This Row],[Employee_ID]],[1]!Table1[[Employee_ID]:[Employee_Name]],2,0)</f>
        <v>#REF!</v>
      </c>
      <c r="J156" s="2" t="b">
        <f>Table1[[#This Row],[Login_Time]]&lt;Table1[[#This Row],[Logout_Time]]</f>
        <v>1</v>
      </c>
    </row>
    <row r="157" spans="1:10" ht="15" customHeight="1">
      <c r="A157" s="2" t="s">
        <v>243</v>
      </c>
      <c r="B157" s="3">
        <v>45671</v>
      </c>
      <c r="C157" s="2" t="s">
        <v>241</v>
      </c>
      <c r="D157" s="2" t="s">
        <v>42</v>
      </c>
      <c r="E157" s="15" t="s">
        <v>40</v>
      </c>
      <c r="F157" s="15" t="s">
        <v>29</v>
      </c>
      <c r="G157" s="2" t="s">
        <v>11</v>
      </c>
      <c r="H157" t="str">
        <f>_xlfn.CONCAT(Table1[[#This Row],[Attendance_ID]],Table1[[#This Row],[Date]],Table1[[#This Row],[Employee_ID]])</f>
        <v>ATT0013245671EMP1016</v>
      </c>
      <c r="I157" s="12" t="e">
        <f>VLOOKUP(Table1[[#This Row],[Employee_ID]],[1]!Table1[[Employee_ID]:[Employee_Name]],2,0)</f>
        <v>#REF!</v>
      </c>
      <c r="J157" s="2" t="b">
        <f>Table1[[#This Row],[Login_Time]]&lt;Table1[[#This Row],[Logout_Time]]</f>
        <v>1</v>
      </c>
    </row>
    <row r="158" spans="1:10" ht="15" customHeight="1">
      <c r="A158" s="2" t="s">
        <v>244</v>
      </c>
      <c r="B158" s="3">
        <v>45684</v>
      </c>
      <c r="C158" s="2" t="s">
        <v>241</v>
      </c>
      <c r="D158" s="2" t="s">
        <v>9</v>
      </c>
      <c r="E158" s="15" t="s">
        <v>16</v>
      </c>
      <c r="F158" s="15" t="s">
        <v>122</v>
      </c>
      <c r="G158" s="2" t="s">
        <v>11</v>
      </c>
      <c r="H158" t="str">
        <f>_xlfn.CONCAT(Table1[[#This Row],[Attendance_ID]],Table1[[#This Row],[Date]],Table1[[#This Row],[Employee_ID]])</f>
        <v>ATT0018245684EMP1016</v>
      </c>
      <c r="I158" s="12" t="e">
        <f>VLOOKUP(Table1[[#This Row],[Employee_ID]],[1]!Table1[[Employee_ID]:[Employee_Name]],2,0)</f>
        <v>#REF!</v>
      </c>
      <c r="J158" s="2" t="b">
        <f>Table1[[#This Row],[Login_Time]]&lt;Table1[[#This Row],[Logout_Time]]</f>
        <v>1</v>
      </c>
    </row>
    <row r="159" spans="1:10" ht="15" hidden="1" customHeight="1">
      <c r="A159" s="2" t="s">
        <v>245</v>
      </c>
      <c r="B159" s="3">
        <v>45665</v>
      </c>
      <c r="C159" s="2" t="s">
        <v>241</v>
      </c>
      <c r="D159" s="2" t="s">
        <v>70</v>
      </c>
      <c r="E159" s="15"/>
      <c r="F159" s="15"/>
      <c r="G159" s="2" t="s">
        <v>11</v>
      </c>
      <c r="H159" t="str">
        <f>_xlfn.CONCAT(Table1[[#This Row],[Attendance_ID]],Table1[[#This Row],[Date]],Table1[[#This Row],[Employee_ID]])</f>
        <v>ATT0023245665EMP1016</v>
      </c>
      <c r="I159" s="12" t="e">
        <f>VLOOKUP(Table1[[#This Row],[Employee_ID]],[1]!Table1[[Employee_ID]:[Employee_Name]],2,0)</f>
        <v>#REF!</v>
      </c>
      <c r="J159" s="2" t="b">
        <f>Table1[[#This Row],[Login_Time]]&lt;Table1[[#This Row],[Logout_Time]]</f>
        <v>0</v>
      </c>
    </row>
    <row r="160" spans="1:10" ht="15" customHeight="1">
      <c r="A160" s="2" t="s">
        <v>246</v>
      </c>
      <c r="B160" s="3">
        <v>45721</v>
      </c>
      <c r="C160" s="2" t="s">
        <v>241</v>
      </c>
      <c r="D160" s="2" t="s">
        <v>42</v>
      </c>
      <c r="E160" s="15" t="s">
        <v>40</v>
      </c>
      <c r="F160" s="15" t="s">
        <v>195</v>
      </c>
      <c r="G160" s="2" t="s">
        <v>11</v>
      </c>
      <c r="H160" t="str">
        <f>_xlfn.CONCAT(Table1[[#This Row],[Attendance_ID]],Table1[[#This Row],[Date]],Table1[[#This Row],[Employee_ID]])</f>
        <v>ATT0028245721EMP1016</v>
      </c>
      <c r="I160" s="12" t="e">
        <f>VLOOKUP(Table1[[#This Row],[Employee_ID]],[1]!Table1[[Employee_ID]:[Employee_Name]],2,0)</f>
        <v>#REF!</v>
      </c>
      <c r="J160" s="2" t="b">
        <f>Table1[[#This Row],[Login_Time]]&lt;Table1[[#This Row],[Logout_Time]]</f>
        <v>1</v>
      </c>
    </row>
    <row r="161" spans="1:10" ht="15" customHeight="1">
      <c r="A161" s="2" t="s">
        <v>247</v>
      </c>
      <c r="B161" s="3">
        <v>45715</v>
      </c>
      <c r="C161" s="2" t="s">
        <v>241</v>
      </c>
      <c r="D161" s="2" t="s">
        <v>42</v>
      </c>
      <c r="E161" s="15" t="s">
        <v>47</v>
      </c>
      <c r="F161" s="15" t="s">
        <v>14</v>
      </c>
      <c r="G161" s="2" t="s">
        <v>21</v>
      </c>
      <c r="H161" t="str">
        <f>_xlfn.CONCAT(Table1[[#This Row],[Attendance_ID]],Table1[[#This Row],[Date]],Table1[[#This Row],[Employee_ID]])</f>
        <v>ATT0033245715EMP1016</v>
      </c>
      <c r="I161" s="12" t="e">
        <f>VLOOKUP(Table1[[#This Row],[Employee_ID]],[1]!Table1[[Employee_ID]:[Employee_Name]],2,0)</f>
        <v>#REF!</v>
      </c>
      <c r="J161" s="2" t="b">
        <f>Table1[[#This Row],[Login_Time]]&lt;Table1[[#This Row],[Logout_Time]]</f>
        <v>1</v>
      </c>
    </row>
    <row r="162" spans="1:10" ht="15" customHeight="1">
      <c r="A162" s="2" t="s">
        <v>248</v>
      </c>
      <c r="B162" s="3">
        <v>45712</v>
      </c>
      <c r="C162" s="2" t="s">
        <v>241</v>
      </c>
      <c r="D162" s="2" t="s">
        <v>42</v>
      </c>
      <c r="E162" s="15" t="s">
        <v>89</v>
      </c>
      <c r="F162" s="15" t="s">
        <v>75</v>
      </c>
      <c r="G162" s="2" t="s">
        <v>21</v>
      </c>
      <c r="H162" t="str">
        <f>_xlfn.CONCAT(Table1[[#This Row],[Attendance_ID]],Table1[[#This Row],[Date]],Table1[[#This Row],[Employee_ID]])</f>
        <v>ATT0038245712EMP1016</v>
      </c>
      <c r="I162" s="12" t="e">
        <f>VLOOKUP(Table1[[#This Row],[Employee_ID]],[1]!Table1[[Employee_ID]:[Employee_Name]],2,0)</f>
        <v>#REF!</v>
      </c>
      <c r="J162" s="2" t="b">
        <f>Table1[[#This Row],[Login_Time]]&lt;Table1[[#This Row],[Logout_Time]]</f>
        <v>1</v>
      </c>
    </row>
    <row r="163" spans="1:10" ht="15" customHeight="1">
      <c r="A163" s="2" t="s">
        <v>249</v>
      </c>
      <c r="B163" s="3">
        <v>45683</v>
      </c>
      <c r="C163" s="2" t="s">
        <v>241</v>
      </c>
      <c r="D163" s="2" t="s">
        <v>9</v>
      </c>
      <c r="E163" s="15" t="s">
        <v>53</v>
      </c>
      <c r="F163" s="15" t="s">
        <v>211</v>
      </c>
      <c r="G163" s="2" t="s">
        <v>11</v>
      </c>
      <c r="H163" t="str">
        <f>_xlfn.CONCAT(Table1[[#This Row],[Attendance_ID]],Table1[[#This Row],[Date]],Table1[[#This Row],[Employee_ID]])</f>
        <v>ATT0043245683EMP1016</v>
      </c>
      <c r="I163" s="12" t="e">
        <f>VLOOKUP(Table1[[#This Row],[Employee_ID]],[1]!Table1[[Employee_ID]:[Employee_Name]],2,0)</f>
        <v>#REF!</v>
      </c>
      <c r="J163" s="2" t="b">
        <f>Table1[[#This Row],[Login_Time]]&lt;Table1[[#This Row],[Logout_Time]]</f>
        <v>1</v>
      </c>
    </row>
    <row r="164" spans="1:10" ht="15" hidden="1" customHeight="1">
      <c r="A164" s="2" t="s">
        <v>250</v>
      </c>
      <c r="B164" s="3">
        <v>45731</v>
      </c>
      <c r="C164" s="2" t="s">
        <v>241</v>
      </c>
      <c r="D164" s="2" t="s">
        <v>26</v>
      </c>
      <c r="E164" s="15"/>
      <c r="F164" s="15"/>
      <c r="G164" s="2" t="s">
        <v>11</v>
      </c>
      <c r="H164" t="str">
        <f>_xlfn.CONCAT(Table1[[#This Row],[Attendance_ID]],Table1[[#This Row],[Date]],Table1[[#This Row],[Employee_ID]])</f>
        <v>ATT0048245731EMP1016</v>
      </c>
      <c r="I164" s="12" t="e">
        <f>VLOOKUP(Table1[[#This Row],[Employee_ID]],[1]!Table1[[Employee_ID]:[Employee_Name]],2,0)</f>
        <v>#REF!</v>
      </c>
      <c r="J164" s="2" t="b">
        <f>Table1[[#This Row],[Login_Time]]&lt;Table1[[#This Row],[Logout_Time]]</f>
        <v>0</v>
      </c>
    </row>
    <row r="165" spans="1:10" ht="15" customHeight="1">
      <c r="A165" s="2" t="s">
        <v>251</v>
      </c>
      <c r="B165" s="3">
        <v>45684</v>
      </c>
      <c r="C165" s="2" t="s">
        <v>252</v>
      </c>
      <c r="D165" s="2" t="s">
        <v>42</v>
      </c>
      <c r="E165" s="15" t="s">
        <v>13</v>
      </c>
      <c r="F165" s="15" t="s">
        <v>35</v>
      </c>
      <c r="G165" s="2" t="s">
        <v>11</v>
      </c>
      <c r="H165" t="str">
        <f>_xlfn.CONCAT(Table1[[#This Row],[Attendance_ID]],Table1[[#This Row],[Date]],Table1[[#This Row],[Employee_ID]])</f>
        <v>ATT0003345684EMP1017</v>
      </c>
      <c r="I165" s="12" t="e">
        <f>VLOOKUP(Table1[[#This Row],[Employee_ID]],[1]!Table1[[Employee_ID]:[Employee_Name]],2,0)</f>
        <v>#REF!</v>
      </c>
      <c r="J165" s="2" t="b">
        <f>Table1[[#This Row],[Login_Time]]&lt;Table1[[#This Row],[Logout_Time]]</f>
        <v>1</v>
      </c>
    </row>
    <row r="166" spans="1:10" ht="15" hidden="1" customHeight="1">
      <c r="A166" s="2" t="s">
        <v>253</v>
      </c>
      <c r="B166" s="3">
        <v>45658</v>
      </c>
      <c r="C166" s="2" t="s">
        <v>252</v>
      </c>
      <c r="D166" s="2" t="s">
        <v>70</v>
      </c>
      <c r="E166" s="15"/>
      <c r="F166" s="15"/>
      <c r="G166" s="2" t="s">
        <v>11</v>
      </c>
      <c r="H166" t="str">
        <f>_xlfn.CONCAT(Table1[[#This Row],[Attendance_ID]],Table1[[#This Row],[Date]],Table1[[#This Row],[Employee_ID]])</f>
        <v>ATT0008345658EMP1017</v>
      </c>
      <c r="I166" s="12" t="e">
        <f>VLOOKUP(Table1[[#This Row],[Employee_ID]],[1]!Table1[[Employee_ID]:[Employee_Name]],2,0)</f>
        <v>#REF!</v>
      </c>
      <c r="J166" s="2" t="b">
        <f>Table1[[#This Row],[Login_Time]]&lt;Table1[[#This Row],[Logout_Time]]</f>
        <v>0</v>
      </c>
    </row>
    <row r="167" spans="1:10" ht="15" hidden="1" customHeight="1">
      <c r="A167" s="2" t="s">
        <v>254</v>
      </c>
      <c r="B167" s="3">
        <v>45693</v>
      </c>
      <c r="C167" s="2" t="s">
        <v>252</v>
      </c>
      <c r="D167" s="2" t="s">
        <v>70</v>
      </c>
      <c r="E167" s="15"/>
      <c r="F167" s="15"/>
      <c r="G167" s="2" t="s">
        <v>11</v>
      </c>
      <c r="H167" t="str">
        <f>_xlfn.CONCAT(Table1[[#This Row],[Attendance_ID]],Table1[[#This Row],[Date]],Table1[[#This Row],[Employee_ID]])</f>
        <v>ATT0013345693EMP1017</v>
      </c>
      <c r="I167" s="12" t="e">
        <f>VLOOKUP(Table1[[#This Row],[Employee_ID]],[1]!Table1[[Employee_ID]:[Employee_Name]],2,0)</f>
        <v>#REF!</v>
      </c>
      <c r="J167" s="2" t="b">
        <f>Table1[[#This Row],[Login_Time]]&lt;Table1[[#This Row],[Logout_Time]]</f>
        <v>0</v>
      </c>
    </row>
    <row r="168" spans="1:10" ht="15" customHeight="1">
      <c r="A168" s="2" t="s">
        <v>255</v>
      </c>
      <c r="B168" s="3">
        <v>45738</v>
      </c>
      <c r="C168" s="2" t="s">
        <v>252</v>
      </c>
      <c r="D168" s="2" t="s">
        <v>42</v>
      </c>
      <c r="E168" s="15" t="s">
        <v>28</v>
      </c>
      <c r="F168" s="15" t="s">
        <v>86</v>
      </c>
      <c r="G168" s="2" t="s">
        <v>21</v>
      </c>
      <c r="H168" t="str">
        <f>_xlfn.CONCAT(Table1[[#This Row],[Attendance_ID]],Table1[[#This Row],[Date]],Table1[[#This Row],[Employee_ID]])</f>
        <v>ATT0018345738EMP1017</v>
      </c>
      <c r="I168" s="12" t="e">
        <f>VLOOKUP(Table1[[#This Row],[Employee_ID]],[1]!Table1[[Employee_ID]:[Employee_Name]],2,0)</f>
        <v>#REF!</v>
      </c>
      <c r="J168" s="2" t="b">
        <f>Table1[[#This Row],[Login_Time]]&lt;Table1[[#This Row],[Logout_Time]]</f>
        <v>1</v>
      </c>
    </row>
    <row r="169" spans="1:10" ht="15" hidden="1" customHeight="1">
      <c r="A169" s="2" t="s">
        <v>256</v>
      </c>
      <c r="B169" s="3">
        <v>45726</v>
      </c>
      <c r="C169" s="2" t="s">
        <v>252</v>
      </c>
      <c r="D169" s="2" t="s">
        <v>26</v>
      </c>
      <c r="E169" s="15"/>
      <c r="F169" s="15"/>
      <c r="G169" s="2" t="s">
        <v>11</v>
      </c>
      <c r="H169" t="str">
        <f>_xlfn.CONCAT(Table1[[#This Row],[Attendance_ID]],Table1[[#This Row],[Date]],Table1[[#This Row],[Employee_ID]])</f>
        <v>ATT0023345726EMP1017</v>
      </c>
      <c r="I169" s="12" t="e">
        <f>VLOOKUP(Table1[[#This Row],[Employee_ID]],[1]!Table1[[Employee_ID]:[Employee_Name]],2,0)</f>
        <v>#REF!</v>
      </c>
      <c r="J169" s="2" t="b">
        <f>Table1[[#This Row],[Login_Time]]&lt;Table1[[#This Row],[Logout_Time]]</f>
        <v>0</v>
      </c>
    </row>
    <row r="170" spans="1:10" ht="15" customHeight="1">
      <c r="A170" s="2" t="s">
        <v>257</v>
      </c>
      <c r="B170" s="3">
        <v>45675</v>
      </c>
      <c r="C170" s="2" t="s">
        <v>252</v>
      </c>
      <c r="D170" s="2" t="s">
        <v>9</v>
      </c>
      <c r="E170" s="15" t="s">
        <v>28</v>
      </c>
      <c r="F170" s="15" t="s">
        <v>66</v>
      </c>
      <c r="G170" s="2" t="s">
        <v>21</v>
      </c>
      <c r="H170" t="str">
        <f>_xlfn.CONCAT(Table1[[#This Row],[Attendance_ID]],Table1[[#This Row],[Date]],Table1[[#This Row],[Employee_ID]])</f>
        <v>ATT0028345675EMP1017</v>
      </c>
      <c r="I170" s="12" t="e">
        <f>VLOOKUP(Table1[[#This Row],[Employee_ID]],[1]!Table1[[Employee_ID]:[Employee_Name]],2,0)</f>
        <v>#REF!</v>
      </c>
      <c r="J170" s="2" t="b">
        <f>Table1[[#This Row],[Login_Time]]&lt;Table1[[#This Row],[Logout_Time]]</f>
        <v>1</v>
      </c>
    </row>
    <row r="171" spans="1:10" ht="15" customHeight="1">
      <c r="A171" s="2" t="s">
        <v>258</v>
      </c>
      <c r="B171" s="3">
        <v>45699</v>
      </c>
      <c r="C171" s="2" t="s">
        <v>252</v>
      </c>
      <c r="D171" s="2" t="s">
        <v>9</v>
      </c>
      <c r="E171" s="15" t="s">
        <v>100</v>
      </c>
      <c r="F171" s="15" t="s">
        <v>211</v>
      </c>
      <c r="G171" s="2" t="s">
        <v>11</v>
      </c>
      <c r="H171" t="str">
        <f>_xlfn.CONCAT(Table1[[#This Row],[Attendance_ID]],Table1[[#This Row],[Date]],Table1[[#This Row],[Employee_ID]])</f>
        <v>ATT0033345699EMP1017</v>
      </c>
      <c r="I171" s="12" t="e">
        <f>VLOOKUP(Table1[[#This Row],[Employee_ID]],[1]!Table1[[Employee_ID]:[Employee_Name]],2,0)</f>
        <v>#REF!</v>
      </c>
      <c r="J171" s="2" t="b">
        <f>Table1[[#This Row],[Login_Time]]&lt;Table1[[#This Row],[Logout_Time]]</f>
        <v>1</v>
      </c>
    </row>
    <row r="172" spans="1:10" ht="15" hidden="1" customHeight="1">
      <c r="A172" s="2" t="s">
        <v>259</v>
      </c>
      <c r="B172" s="3">
        <v>45725</v>
      </c>
      <c r="C172" s="2" t="s">
        <v>252</v>
      </c>
      <c r="D172" s="2" t="s">
        <v>70</v>
      </c>
      <c r="E172" s="15"/>
      <c r="F172" s="15"/>
      <c r="G172" s="2" t="s">
        <v>11</v>
      </c>
      <c r="H172" t="str">
        <f>_xlfn.CONCAT(Table1[[#This Row],[Attendance_ID]],Table1[[#This Row],[Date]],Table1[[#This Row],[Employee_ID]])</f>
        <v>ATT0038345725EMP1017</v>
      </c>
      <c r="I172" s="12" t="e">
        <f>VLOOKUP(Table1[[#This Row],[Employee_ID]],[1]!Table1[[Employee_ID]:[Employee_Name]],2,0)</f>
        <v>#REF!</v>
      </c>
      <c r="J172" s="2" t="b">
        <f>Table1[[#This Row],[Login_Time]]&lt;Table1[[#This Row],[Logout_Time]]</f>
        <v>0</v>
      </c>
    </row>
    <row r="173" spans="1:10" ht="15" customHeight="1">
      <c r="A173" s="2" t="s">
        <v>260</v>
      </c>
      <c r="B173" s="3">
        <v>45724</v>
      </c>
      <c r="C173" s="2" t="s">
        <v>252</v>
      </c>
      <c r="D173" s="2" t="s">
        <v>42</v>
      </c>
      <c r="E173" s="15" t="s">
        <v>108</v>
      </c>
      <c r="F173" s="15" t="s">
        <v>261</v>
      </c>
      <c r="G173" s="2" t="s">
        <v>11</v>
      </c>
      <c r="H173" t="str">
        <f>_xlfn.CONCAT(Table1[[#This Row],[Attendance_ID]],Table1[[#This Row],[Date]],Table1[[#This Row],[Employee_ID]])</f>
        <v>ATT0043345724EMP1017</v>
      </c>
      <c r="I173" s="12" t="e">
        <f>VLOOKUP(Table1[[#This Row],[Employee_ID]],[1]!Table1[[Employee_ID]:[Employee_Name]],2,0)</f>
        <v>#REF!</v>
      </c>
      <c r="J173" s="2" t="b">
        <f>Table1[[#This Row],[Login_Time]]&lt;Table1[[#This Row],[Logout_Time]]</f>
        <v>1</v>
      </c>
    </row>
    <row r="174" spans="1:10" ht="15" customHeight="1">
      <c r="A174" s="2" t="s">
        <v>262</v>
      </c>
      <c r="B174" s="3">
        <v>45725</v>
      </c>
      <c r="C174" s="2" t="s">
        <v>252</v>
      </c>
      <c r="D174" s="2" t="s">
        <v>9</v>
      </c>
      <c r="E174" s="15" t="s">
        <v>80</v>
      </c>
      <c r="F174" s="15" t="s">
        <v>66</v>
      </c>
      <c r="G174" s="2" t="s">
        <v>21</v>
      </c>
      <c r="H174" t="str">
        <f>_xlfn.CONCAT(Table1[[#This Row],[Attendance_ID]],Table1[[#This Row],[Date]],Table1[[#This Row],[Employee_ID]])</f>
        <v>ATT0048345725EMP1017</v>
      </c>
      <c r="I174" s="12" t="e">
        <f>VLOOKUP(Table1[[#This Row],[Employee_ID]],[1]!Table1[[Employee_ID]:[Employee_Name]],2,0)</f>
        <v>#REF!</v>
      </c>
      <c r="J174" s="2" t="b">
        <f>Table1[[#This Row],[Login_Time]]&lt;Table1[[#This Row],[Logout_Time]]</f>
        <v>1</v>
      </c>
    </row>
    <row r="175" spans="1:10" ht="15" customHeight="1">
      <c r="A175" s="2" t="s">
        <v>263</v>
      </c>
      <c r="B175" s="3">
        <v>45689</v>
      </c>
      <c r="C175" s="2" t="s">
        <v>264</v>
      </c>
      <c r="D175" s="2" t="s">
        <v>9</v>
      </c>
      <c r="E175" s="15" t="s">
        <v>115</v>
      </c>
      <c r="F175" s="15" t="s">
        <v>92</v>
      </c>
      <c r="G175" s="2" t="s">
        <v>21</v>
      </c>
      <c r="H175" t="str">
        <f>_xlfn.CONCAT(Table1[[#This Row],[Attendance_ID]],Table1[[#This Row],[Date]],Table1[[#This Row],[Employee_ID]])</f>
        <v>ATT0003445689EMP1018</v>
      </c>
      <c r="I175" s="12" t="e">
        <f>VLOOKUP(Table1[[#This Row],[Employee_ID]],[1]!Table1[[Employee_ID]:[Employee_Name]],2,0)</f>
        <v>#REF!</v>
      </c>
      <c r="J175" s="2" t="b">
        <f>Table1[[#This Row],[Login_Time]]&lt;Table1[[#This Row],[Logout_Time]]</f>
        <v>1</v>
      </c>
    </row>
    <row r="176" spans="1:10" ht="15" hidden="1" customHeight="1">
      <c r="A176" s="2" t="s">
        <v>265</v>
      </c>
      <c r="B176" s="3">
        <v>45675</v>
      </c>
      <c r="C176" s="2" t="s">
        <v>264</v>
      </c>
      <c r="D176" s="2" t="s">
        <v>26</v>
      </c>
      <c r="E176" s="15"/>
      <c r="F176" s="15"/>
      <c r="G176" s="2" t="s">
        <v>11</v>
      </c>
      <c r="H176" t="str">
        <f>_xlfn.CONCAT(Table1[[#This Row],[Attendance_ID]],Table1[[#This Row],[Date]],Table1[[#This Row],[Employee_ID]])</f>
        <v>ATT0008445675EMP1018</v>
      </c>
      <c r="I176" s="12" t="e">
        <f>VLOOKUP(Table1[[#This Row],[Employee_ID]],[1]!Table1[[Employee_ID]:[Employee_Name]],2,0)</f>
        <v>#REF!</v>
      </c>
      <c r="J176" s="2" t="b">
        <f>Table1[[#This Row],[Login_Time]]&lt;Table1[[#This Row],[Logout_Time]]</f>
        <v>0</v>
      </c>
    </row>
    <row r="177" spans="1:10" ht="15" customHeight="1">
      <c r="A177" s="2" t="s">
        <v>266</v>
      </c>
      <c r="B177" s="3">
        <v>45658</v>
      </c>
      <c r="C177" s="2" t="s">
        <v>264</v>
      </c>
      <c r="D177" s="2" t="s">
        <v>9</v>
      </c>
      <c r="E177" s="15" t="s">
        <v>100</v>
      </c>
      <c r="F177" s="15" t="s">
        <v>127</v>
      </c>
      <c r="G177" s="2" t="s">
        <v>11</v>
      </c>
      <c r="H177" t="str">
        <f>_xlfn.CONCAT(Table1[[#This Row],[Attendance_ID]],Table1[[#This Row],[Date]],Table1[[#This Row],[Employee_ID]])</f>
        <v>ATT0013445658EMP1018</v>
      </c>
      <c r="I177" s="12" t="e">
        <f>VLOOKUP(Table1[[#This Row],[Employee_ID]],[1]!Table1[[Employee_ID]:[Employee_Name]],2,0)</f>
        <v>#REF!</v>
      </c>
      <c r="J177" s="2" t="b">
        <f>Table1[[#This Row],[Login_Time]]&lt;Table1[[#This Row],[Logout_Time]]</f>
        <v>1</v>
      </c>
    </row>
    <row r="178" spans="1:10" ht="15" hidden="1" customHeight="1">
      <c r="A178" s="2" t="s">
        <v>267</v>
      </c>
      <c r="B178" s="3">
        <v>45685</v>
      </c>
      <c r="C178" s="2" t="s">
        <v>264</v>
      </c>
      <c r="D178" s="2" t="s">
        <v>26</v>
      </c>
      <c r="E178" s="15"/>
      <c r="F178" s="15"/>
      <c r="G178" s="2" t="s">
        <v>11</v>
      </c>
      <c r="H178" t="str">
        <f>_xlfn.CONCAT(Table1[[#This Row],[Attendance_ID]],Table1[[#This Row],[Date]],Table1[[#This Row],[Employee_ID]])</f>
        <v>ATT0018445685EMP1018</v>
      </c>
      <c r="I178" s="12" t="e">
        <f>VLOOKUP(Table1[[#This Row],[Employee_ID]],[1]!Table1[[Employee_ID]:[Employee_Name]],2,0)</f>
        <v>#REF!</v>
      </c>
      <c r="J178" s="2" t="b">
        <f>Table1[[#This Row],[Login_Time]]&lt;Table1[[#This Row],[Logout_Time]]</f>
        <v>0</v>
      </c>
    </row>
    <row r="179" spans="1:10" ht="15" customHeight="1">
      <c r="A179" s="2" t="s">
        <v>268</v>
      </c>
      <c r="B179" s="3">
        <v>45730</v>
      </c>
      <c r="C179" s="2" t="s">
        <v>264</v>
      </c>
      <c r="D179" s="2" t="s">
        <v>9</v>
      </c>
      <c r="E179" s="15" t="s">
        <v>16</v>
      </c>
      <c r="F179" s="15" t="s">
        <v>37</v>
      </c>
      <c r="G179" s="2" t="s">
        <v>11</v>
      </c>
      <c r="H179" t="str">
        <f>_xlfn.CONCAT(Table1[[#This Row],[Attendance_ID]],Table1[[#This Row],[Date]],Table1[[#This Row],[Employee_ID]])</f>
        <v>ATT0023445730EMP1018</v>
      </c>
      <c r="I179" s="12" t="e">
        <f>VLOOKUP(Table1[[#This Row],[Employee_ID]],[1]!Table1[[Employee_ID]:[Employee_Name]],2,0)</f>
        <v>#REF!</v>
      </c>
      <c r="J179" s="2" t="b">
        <f>Table1[[#This Row],[Login_Time]]&lt;Table1[[#This Row],[Logout_Time]]</f>
        <v>1</v>
      </c>
    </row>
    <row r="180" spans="1:10" ht="15" hidden="1" customHeight="1">
      <c r="A180" s="2" t="s">
        <v>269</v>
      </c>
      <c r="B180" s="3">
        <v>45659</v>
      </c>
      <c r="C180" s="2" t="s">
        <v>264</v>
      </c>
      <c r="D180" s="2" t="s">
        <v>70</v>
      </c>
      <c r="E180" s="15"/>
      <c r="F180" s="15"/>
      <c r="G180" s="2" t="s">
        <v>11</v>
      </c>
      <c r="H180" t="str">
        <f>_xlfn.CONCAT(Table1[[#This Row],[Attendance_ID]],Table1[[#This Row],[Date]],Table1[[#This Row],[Employee_ID]])</f>
        <v>ATT0028445659EMP1018</v>
      </c>
      <c r="I180" s="12" t="e">
        <f>VLOOKUP(Table1[[#This Row],[Employee_ID]],[1]!Table1[[Employee_ID]:[Employee_Name]],2,0)</f>
        <v>#REF!</v>
      </c>
      <c r="J180" s="2" t="b">
        <f>Table1[[#This Row],[Login_Time]]&lt;Table1[[#This Row],[Logout_Time]]</f>
        <v>0</v>
      </c>
    </row>
    <row r="181" spans="1:10" ht="15" customHeight="1">
      <c r="A181" s="2" t="s">
        <v>270</v>
      </c>
      <c r="B181" s="3">
        <v>45731</v>
      </c>
      <c r="C181" s="2" t="s">
        <v>264</v>
      </c>
      <c r="D181" s="2" t="s">
        <v>9</v>
      </c>
      <c r="E181" s="15" t="s">
        <v>80</v>
      </c>
      <c r="F181" s="15" t="s">
        <v>90</v>
      </c>
      <c r="G181" s="2" t="s">
        <v>21</v>
      </c>
      <c r="H181" t="str">
        <f>_xlfn.CONCAT(Table1[[#This Row],[Attendance_ID]],Table1[[#This Row],[Date]],Table1[[#This Row],[Employee_ID]])</f>
        <v>ATT0033445731EMP1018</v>
      </c>
      <c r="I181" s="12" t="e">
        <f>VLOOKUP(Table1[[#This Row],[Employee_ID]],[1]!Table1[[Employee_ID]:[Employee_Name]],2,0)</f>
        <v>#REF!</v>
      </c>
      <c r="J181" s="2" t="b">
        <f>Table1[[#This Row],[Login_Time]]&lt;Table1[[#This Row],[Logout_Time]]</f>
        <v>1</v>
      </c>
    </row>
    <row r="182" spans="1:10" ht="15" customHeight="1">
      <c r="A182" s="2" t="s">
        <v>271</v>
      </c>
      <c r="B182" s="3">
        <v>45665</v>
      </c>
      <c r="C182" s="2" t="s">
        <v>264</v>
      </c>
      <c r="D182" s="2" t="s">
        <v>9</v>
      </c>
      <c r="E182" s="15" t="s">
        <v>19</v>
      </c>
      <c r="F182" s="15" t="s">
        <v>127</v>
      </c>
      <c r="G182" s="2" t="s">
        <v>21</v>
      </c>
      <c r="H182" t="str">
        <f>_xlfn.CONCAT(Table1[[#This Row],[Attendance_ID]],Table1[[#This Row],[Date]],Table1[[#This Row],[Employee_ID]])</f>
        <v>ATT0038445665EMP1018</v>
      </c>
      <c r="I182" s="12" t="e">
        <f>VLOOKUP(Table1[[#This Row],[Employee_ID]],[1]!Table1[[Employee_ID]:[Employee_Name]],2,0)</f>
        <v>#REF!</v>
      </c>
      <c r="J182" s="2" t="b">
        <f>Table1[[#This Row],[Login_Time]]&lt;Table1[[#This Row],[Logout_Time]]</f>
        <v>1</v>
      </c>
    </row>
    <row r="183" spans="1:10" ht="15" customHeight="1">
      <c r="A183" s="2" t="s">
        <v>272</v>
      </c>
      <c r="B183" s="3">
        <v>45675</v>
      </c>
      <c r="C183" s="2" t="s">
        <v>264</v>
      </c>
      <c r="D183" s="2" t="s">
        <v>9</v>
      </c>
      <c r="E183" s="15" t="s">
        <v>61</v>
      </c>
      <c r="F183" s="15" t="s">
        <v>90</v>
      </c>
      <c r="G183" s="2" t="s">
        <v>21</v>
      </c>
      <c r="H183" t="str">
        <f>_xlfn.CONCAT(Table1[[#This Row],[Attendance_ID]],Table1[[#This Row],[Date]],Table1[[#This Row],[Employee_ID]])</f>
        <v>ATT0043445675EMP1018</v>
      </c>
      <c r="I183" s="12" t="e">
        <f>VLOOKUP(Table1[[#This Row],[Employee_ID]],[1]!Table1[[Employee_ID]:[Employee_Name]],2,0)</f>
        <v>#REF!</v>
      </c>
      <c r="J183" s="2" t="b">
        <f>Table1[[#This Row],[Login_Time]]&lt;Table1[[#This Row],[Logout_Time]]</f>
        <v>1</v>
      </c>
    </row>
    <row r="184" spans="1:10" ht="15" customHeight="1">
      <c r="A184" s="2" t="s">
        <v>273</v>
      </c>
      <c r="B184" s="3">
        <v>45672</v>
      </c>
      <c r="C184" s="2" t="s">
        <v>264</v>
      </c>
      <c r="D184" s="2" t="s">
        <v>9</v>
      </c>
      <c r="E184" s="15" t="s">
        <v>226</v>
      </c>
      <c r="F184" s="15" t="s">
        <v>75</v>
      </c>
      <c r="G184" s="2" t="s">
        <v>11</v>
      </c>
      <c r="H184" t="str">
        <f>_xlfn.CONCAT(Table1[[#This Row],[Attendance_ID]],Table1[[#This Row],[Date]],Table1[[#This Row],[Employee_ID]])</f>
        <v>ATT0048445672EMP1018</v>
      </c>
      <c r="I184" s="12" t="e">
        <f>VLOOKUP(Table1[[#This Row],[Employee_ID]],[1]!Table1[[Employee_ID]:[Employee_Name]],2,0)</f>
        <v>#REF!</v>
      </c>
      <c r="J184" s="2" t="b">
        <f>Table1[[#This Row],[Login_Time]]&lt;Table1[[#This Row],[Logout_Time]]</f>
        <v>1</v>
      </c>
    </row>
    <row r="185" spans="1:10" ht="15" hidden="1" customHeight="1">
      <c r="A185" s="2" t="s">
        <v>274</v>
      </c>
      <c r="B185" s="3">
        <v>45706</v>
      </c>
      <c r="C185" s="2" t="s">
        <v>275</v>
      </c>
      <c r="D185" s="2" t="s">
        <v>70</v>
      </c>
      <c r="E185" s="15"/>
      <c r="F185" s="15"/>
      <c r="G185" s="2" t="s">
        <v>11</v>
      </c>
      <c r="H185" t="str">
        <f>_xlfn.CONCAT(Table1[[#This Row],[Attendance_ID]],Table1[[#This Row],[Date]],Table1[[#This Row],[Employee_ID]])</f>
        <v>ATT0003545706EMP1019</v>
      </c>
      <c r="I185" s="12" t="e">
        <f>VLOOKUP(Table1[[#This Row],[Employee_ID]],[1]!Table1[[Employee_ID]:[Employee_Name]],2,0)</f>
        <v>#REF!</v>
      </c>
      <c r="J185" s="2" t="b">
        <f>Table1[[#This Row],[Login_Time]]&lt;Table1[[#This Row],[Logout_Time]]</f>
        <v>0</v>
      </c>
    </row>
    <row r="186" spans="1:10" ht="15" hidden="1" customHeight="1">
      <c r="A186" s="2" t="s">
        <v>276</v>
      </c>
      <c r="B186" s="3">
        <v>45739</v>
      </c>
      <c r="C186" s="2" t="s">
        <v>275</v>
      </c>
      <c r="D186" s="2" t="s">
        <v>70</v>
      </c>
      <c r="E186" s="15"/>
      <c r="F186" s="15"/>
      <c r="G186" s="2" t="s">
        <v>11</v>
      </c>
      <c r="H186" t="str">
        <f>_xlfn.CONCAT(Table1[[#This Row],[Attendance_ID]],Table1[[#This Row],[Date]],Table1[[#This Row],[Employee_ID]])</f>
        <v>ATT0008545739EMP1019</v>
      </c>
      <c r="I186" s="12" t="e">
        <f>VLOOKUP(Table1[[#This Row],[Employee_ID]],[1]!Table1[[Employee_ID]:[Employee_Name]],2,0)</f>
        <v>#REF!</v>
      </c>
      <c r="J186" s="2" t="b">
        <f>Table1[[#This Row],[Login_Time]]&lt;Table1[[#This Row],[Logout_Time]]</f>
        <v>0</v>
      </c>
    </row>
    <row r="187" spans="1:10" ht="15" hidden="1" customHeight="1">
      <c r="A187" s="2" t="s">
        <v>277</v>
      </c>
      <c r="B187" s="3">
        <v>45745</v>
      </c>
      <c r="C187" s="2" t="s">
        <v>275</v>
      </c>
      <c r="D187" s="2" t="s">
        <v>70</v>
      </c>
      <c r="E187" s="15"/>
      <c r="F187" s="15"/>
      <c r="G187" s="2" t="s">
        <v>11</v>
      </c>
      <c r="H187" t="str">
        <f>_xlfn.CONCAT(Table1[[#This Row],[Attendance_ID]],Table1[[#This Row],[Date]],Table1[[#This Row],[Employee_ID]])</f>
        <v>ATT0013545745EMP1019</v>
      </c>
      <c r="I187" s="12" t="e">
        <f>VLOOKUP(Table1[[#This Row],[Employee_ID]],[1]!Table1[[Employee_ID]:[Employee_Name]],2,0)</f>
        <v>#REF!</v>
      </c>
      <c r="J187" s="2" t="b">
        <f>Table1[[#This Row],[Login_Time]]&lt;Table1[[#This Row],[Logout_Time]]</f>
        <v>0</v>
      </c>
    </row>
    <row r="188" spans="1:10" ht="15" hidden="1" customHeight="1">
      <c r="A188" s="2" t="s">
        <v>278</v>
      </c>
      <c r="B188" s="3">
        <v>45741</v>
      </c>
      <c r="C188" s="2" t="s">
        <v>275</v>
      </c>
      <c r="D188" s="2" t="s">
        <v>70</v>
      </c>
      <c r="E188" s="15"/>
      <c r="F188" s="15"/>
      <c r="G188" s="2" t="s">
        <v>11</v>
      </c>
      <c r="H188" t="str">
        <f>_xlfn.CONCAT(Table1[[#This Row],[Attendance_ID]],Table1[[#This Row],[Date]],Table1[[#This Row],[Employee_ID]])</f>
        <v>ATT0018545741EMP1019</v>
      </c>
      <c r="I188" s="12" t="e">
        <f>VLOOKUP(Table1[[#This Row],[Employee_ID]],[1]!Table1[[Employee_ID]:[Employee_Name]],2,0)</f>
        <v>#REF!</v>
      </c>
      <c r="J188" s="2" t="b">
        <f>Table1[[#This Row],[Login_Time]]&lt;Table1[[#This Row],[Logout_Time]]</f>
        <v>0</v>
      </c>
    </row>
    <row r="189" spans="1:10" ht="15" customHeight="1">
      <c r="A189" s="2" t="s">
        <v>279</v>
      </c>
      <c r="B189" s="3">
        <v>45665</v>
      </c>
      <c r="C189" s="2" t="s">
        <v>275</v>
      </c>
      <c r="D189" s="2" t="s">
        <v>42</v>
      </c>
      <c r="E189" s="15" t="s">
        <v>149</v>
      </c>
      <c r="F189" s="15" t="s">
        <v>35</v>
      </c>
      <c r="G189" s="2" t="s">
        <v>21</v>
      </c>
      <c r="H189" t="str">
        <f>_xlfn.CONCAT(Table1[[#This Row],[Attendance_ID]],Table1[[#This Row],[Date]],Table1[[#This Row],[Employee_ID]])</f>
        <v>ATT0023545665EMP1019</v>
      </c>
      <c r="I189" s="12" t="e">
        <f>VLOOKUP(Table1[[#This Row],[Employee_ID]],[1]!Table1[[Employee_ID]:[Employee_Name]],2,0)</f>
        <v>#REF!</v>
      </c>
      <c r="J189" s="2" t="b">
        <f>Table1[[#This Row],[Login_Time]]&lt;Table1[[#This Row],[Logout_Time]]</f>
        <v>1</v>
      </c>
    </row>
    <row r="190" spans="1:10" ht="15" hidden="1" customHeight="1">
      <c r="A190" s="2" t="s">
        <v>280</v>
      </c>
      <c r="B190" s="3">
        <v>45698</v>
      </c>
      <c r="C190" s="2" t="s">
        <v>275</v>
      </c>
      <c r="D190" s="2" t="s">
        <v>26</v>
      </c>
      <c r="E190" s="15"/>
      <c r="F190" s="15"/>
      <c r="G190" s="2" t="s">
        <v>11</v>
      </c>
      <c r="H190" t="str">
        <f>_xlfn.CONCAT(Table1[[#This Row],[Attendance_ID]],Table1[[#This Row],[Date]],Table1[[#This Row],[Employee_ID]])</f>
        <v>ATT0028545698EMP1019</v>
      </c>
      <c r="I190" s="12" t="e">
        <f>VLOOKUP(Table1[[#This Row],[Employee_ID]],[1]!Table1[[Employee_ID]:[Employee_Name]],2,0)</f>
        <v>#REF!</v>
      </c>
      <c r="J190" s="2" t="b">
        <f>Table1[[#This Row],[Login_Time]]&lt;Table1[[#This Row],[Logout_Time]]</f>
        <v>0</v>
      </c>
    </row>
    <row r="191" spans="1:10" ht="15" customHeight="1">
      <c r="A191" s="2" t="s">
        <v>281</v>
      </c>
      <c r="B191" s="3">
        <v>45723</v>
      </c>
      <c r="C191" s="2" t="s">
        <v>275</v>
      </c>
      <c r="D191" s="2" t="s">
        <v>9</v>
      </c>
      <c r="E191" s="15" t="s">
        <v>47</v>
      </c>
      <c r="F191" s="15" t="s">
        <v>261</v>
      </c>
      <c r="G191" s="2" t="s">
        <v>21</v>
      </c>
      <c r="H191" t="str">
        <f>_xlfn.CONCAT(Table1[[#This Row],[Attendance_ID]],Table1[[#This Row],[Date]],Table1[[#This Row],[Employee_ID]])</f>
        <v>ATT0033545723EMP1019</v>
      </c>
      <c r="I191" s="12" t="e">
        <f>VLOOKUP(Table1[[#This Row],[Employee_ID]],[1]!Table1[[Employee_ID]:[Employee_Name]],2,0)</f>
        <v>#REF!</v>
      </c>
      <c r="J191" s="2" t="b">
        <f>Table1[[#This Row],[Login_Time]]&lt;Table1[[#This Row],[Logout_Time]]</f>
        <v>1</v>
      </c>
    </row>
    <row r="192" spans="1:10" ht="15" customHeight="1">
      <c r="A192" s="2" t="s">
        <v>282</v>
      </c>
      <c r="B192" s="3">
        <v>45668</v>
      </c>
      <c r="C192" s="2" t="s">
        <v>275</v>
      </c>
      <c r="D192" s="2" t="s">
        <v>9</v>
      </c>
      <c r="E192" s="15" t="s">
        <v>136</v>
      </c>
      <c r="F192" s="15" t="s">
        <v>37</v>
      </c>
      <c r="G192" s="2" t="s">
        <v>21</v>
      </c>
      <c r="H192" t="str">
        <f>_xlfn.CONCAT(Table1[[#This Row],[Attendance_ID]],Table1[[#This Row],[Date]],Table1[[#This Row],[Employee_ID]])</f>
        <v>ATT0038545668EMP1019</v>
      </c>
      <c r="I192" s="12" t="e">
        <f>VLOOKUP(Table1[[#This Row],[Employee_ID]],[1]!Table1[[Employee_ID]:[Employee_Name]],2,0)</f>
        <v>#REF!</v>
      </c>
      <c r="J192" s="2" t="b">
        <f>Table1[[#This Row],[Login_Time]]&lt;Table1[[#This Row],[Logout_Time]]</f>
        <v>1</v>
      </c>
    </row>
    <row r="193" spans="1:10" ht="15" hidden="1" customHeight="1">
      <c r="A193" s="2" t="s">
        <v>283</v>
      </c>
      <c r="B193" s="3">
        <v>45746</v>
      </c>
      <c r="C193" s="2" t="s">
        <v>275</v>
      </c>
      <c r="D193" s="2" t="s">
        <v>26</v>
      </c>
      <c r="E193" s="15"/>
      <c r="F193" s="15"/>
      <c r="G193" s="2" t="s">
        <v>11</v>
      </c>
      <c r="H193" t="str">
        <f>_xlfn.CONCAT(Table1[[#This Row],[Attendance_ID]],Table1[[#This Row],[Date]],Table1[[#This Row],[Employee_ID]])</f>
        <v>ATT0043545746EMP1019</v>
      </c>
      <c r="I193" s="12" t="e">
        <f>VLOOKUP(Table1[[#This Row],[Employee_ID]],[1]!Table1[[Employee_ID]:[Employee_Name]],2,0)</f>
        <v>#REF!</v>
      </c>
      <c r="J193" s="2" t="b">
        <f>Table1[[#This Row],[Login_Time]]&lt;Table1[[#This Row],[Logout_Time]]</f>
        <v>0</v>
      </c>
    </row>
    <row r="194" spans="1:10" ht="15" customHeight="1">
      <c r="A194" s="2" t="s">
        <v>284</v>
      </c>
      <c r="B194" s="3">
        <v>45741</v>
      </c>
      <c r="C194" s="2" t="s">
        <v>275</v>
      </c>
      <c r="D194" s="2" t="s">
        <v>9</v>
      </c>
      <c r="E194" s="15" t="s">
        <v>19</v>
      </c>
      <c r="F194" s="15" t="s">
        <v>90</v>
      </c>
      <c r="G194" s="2" t="s">
        <v>21</v>
      </c>
      <c r="H194" t="str">
        <f>_xlfn.CONCAT(Table1[[#This Row],[Attendance_ID]],Table1[[#This Row],[Date]],Table1[[#This Row],[Employee_ID]])</f>
        <v>ATT0048545741EMP1019</v>
      </c>
      <c r="I194" s="12" t="e">
        <f>VLOOKUP(Table1[[#This Row],[Employee_ID]],[1]!Table1[[Employee_ID]:[Employee_Name]],2,0)</f>
        <v>#REF!</v>
      </c>
      <c r="J194" s="2" t="b">
        <f>Table1[[#This Row],[Login_Time]]&lt;Table1[[#This Row],[Logout_Time]]</f>
        <v>1</v>
      </c>
    </row>
    <row r="195" spans="1:10" ht="15" hidden="1" customHeight="1">
      <c r="A195" s="2" t="s">
        <v>285</v>
      </c>
      <c r="B195" s="3">
        <v>45682</v>
      </c>
      <c r="C195" s="2" t="s">
        <v>286</v>
      </c>
      <c r="D195" s="2" t="s">
        <v>26</v>
      </c>
      <c r="E195" s="15"/>
      <c r="F195" s="15"/>
      <c r="G195" s="2" t="s">
        <v>11</v>
      </c>
      <c r="H195" t="str">
        <f>_xlfn.CONCAT(Table1[[#This Row],[Attendance_ID]],Table1[[#This Row],[Date]],Table1[[#This Row],[Employee_ID]])</f>
        <v>ATT0003645682EMP1020</v>
      </c>
      <c r="I195" s="12" t="e">
        <f>VLOOKUP(Table1[[#This Row],[Employee_ID]],[1]!Table1[[Employee_ID]:[Employee_Name]],2,0)</f>
        <v>#REF!</v>
      </c>
      <c r="J195" s="2" t="b">
        <f>Table1[[#This Row],[Login_Time]]&lt;Table1[[#This Row],[Logout_Time]]</f>
        <v>0</v>
      </c>
    </row>
    <row r="196" spans="1:10" ht="15" customHeight="1">
      <c r="A196" s="2" t="s">
        <v>287</v>
      </c>
      <c r="B196" s="3">
        <v>45714</v>
      </c>
      <c r="C196" s="2" t="s">
        <v>286</v>
      </c>
      <c r="D196" s="2" t="s">
        <v>9</v>
      </c>
      <c r="E196" s="15" t="s">
        <v>16</v>
      </c>
      <c r="F196" s="15" t="s">
        <v>14</v>
      </c>
      <c r="G196" s="2" t="s">
        <v>11</v>
      </c>
      <c r="H196" t="str">
        <f>_xlfn.CONCAT(Table1[[#This Row],[Attendance_ID]],Table1[[#This Row],[Date]],Table1[[#This Row],[Employee_ID]])</f>
        <v>ATT0008645714EMP1020</v>
      </c>
      <c r="I196" s="12" t="e">
        <f>VLOOKUP(Table1[[#This Row],[Employee_ID]],[1]!Table1[[Employee_ID]:[Employee_Name]],2,0)</f>
        <v>#REF!</v>
      </c>
      <c r="J196" s="2" t="b">
        <f>Table1[[#This Row],[Login_Time]]&lt;Table1[[#This Row],[Logout_Time]]</f>
        <v>1</v>
      </c>
    </row>
    <row r="197" spans="1:10" ht="15" customHeight="1">
      <c r="A197" s="2" t="s">
        <v>288</v>
      </c>
      <c r="B197" s="3">
        <v>45663</v>
      </c>
      <c r="C197" s="2" t="s">
        <v>286</v>
      </c>
      <c r="D197" s="2" t="s">
        <v>9</v>
      </c>
      <c r="E197" s="15" t="s">
        <v>100</v>
      </c>
      <c r="F197" s="15" t="s">
        <v>35</v>
      </c>
      <c r="G197" s="2" t="s">
        <v>11</v>
      </c>
      <c r="H197" t="str">
        <f>_xlfn.CONCAT(Table1[[#This Row],[Attendance_ID]],Table1[[#This Row],[Date]],Table1[[#This Row],[Employee_ID]])</f>
        <v>ATT0013645663EMP1020</v>
      </c>
      <c r="I197" s="12" t="e">
        <f>VLOOKUP(Table1[[#This Row],[Employee_ID]],[1]!Table1[[Employee_ID]:[Employee_Name]],2,0)</f>
        <v>#REF!</v>
      </c>
      <c r="J197" s="2" t="b">
        <f>Table1[[#This Row],[Login_Time]]&lt;Table1[[#This Row],[Logout_Time]]</f>
        <v>1</v>
      </c>
    </row>
    <row r="198" spans="1:10" ht="15" hidden="1" customHeight="1">
      <c r="A198" s="2" t="s">
        <v>289</v>
      </c>
      <c r="B198" s="3">
        <v>45734</v>
      </c>
      <c r="C198" s="2" t="s">
        <v>286</v>
      </c>
      <c r="D198" s="2" t="s">
        <v>26</v>
      </c>
      <c r="E198" s="15"/>
      <c r="F198" s="15"/>
      <c r="G198" s="2" t="s">
        <v>11</v>
      </c>
      <c r="H198" t="str">
        <f>_xlfn.CONCAT(Table1[[#This Row],[Attendance_ID]],Table1[[#This Row],[Date]],Table1[[#This Row],[Employee_ID]])</f>
        <v>ATT0018645734EMP1020</v>
      </c>
      <c r="I198" s="12" t="e">
        <f>VLOOKUP(Table1[[#This Row],[Employee_ID]],[1]!Table1[[Employee_ID]:[Employee_Name]],2,0)</f>
        <v>#REF!</v>
      </c>
      <c r="J198" s="2" t="b">
        <f>Table1[[#This Row],[Login_Time]]&lt;Table1[[#This Row],[Logout_Time]]</f>
        <v>0</v>
      </c>
    </row>
    <row r="199" spans="1:10" ht="15" customHeight="1">
      <c r="A199" s="2" t="s">
        <v>290</v>
      </c>
      <c r="B199" s="3">
        <v>45700</v>
      </c>
      <c r="C199" s="2" t="s">
        <v>286</v>
      </c>
      <c r="D199" s="2" t="s">
        <v>42</v>
      </c>
      <c r="E199" s="15" t="s">
        <v>31</v>
      </c>
      <c r="F199" s="15" t="s">
        <v>35</v>
      </c>
      <c r="G199" s="2" t="s">
        <v>21</v>
      </c>
      <c r="H199" t="str">
        <f>_xlfn.CONCAT(Table1[[#This Row],[Attendance_ID]],Table1[[#This Row],[Date]],Table1[[#This Row],[Employee_ID]])</f>
        <v>ATT0023645700EMP1020</v>
      </c>
      <c r="I199" s="12" t="e">
        <f>VLOOKUP(Table1[[#This Row],[Employee_ID]],[1]!Table1[[Employee_ID]:[Employee_Name]],2,0)</f>
        <v>#REF!</v>
      </c>
      <c r="J199" s="2" t="b">
        <f>Table1[[#This Row],[Login_Time]]&lt;Table1[[#This Row],[Logout_Time]]</f>
        <v>1</v>
      </c>
    </row>
    <row r="200" spans="1:10" ht="15" customHeight="1">
      <c r="A200" s="2" t="s">
        <v>291</v>
      </c>
      <c r="B200" s="3">
        <v>45728</v>
      </c>
      <c r="C200" s="2" t="s">
        <v>286</v>
      </c>
      <c r="D200" s="2" t="s">
        <v>42</v>
      </c>
      <c r="E200" s="15" t="s">
        <v>50</v>
      </c>
      <c r="F200" s="15" t="s">
        <v>292</v>
      </c>
      <c r="G200" s="2" t="s">
        <v>21</v>
      </c>
      <c r="H200" t="str">
        <f>_xlfn.CONCAT(Table1[[#This Row],[Attendance_ID]],Table1[[#This Row],[Date]],Table1[[#This Row],[Employee_ID]])</f>
        <v>ATT0028645728EMP1020</v>
      </c>
      <c r="I200" s="12" t="e">
        <f>VLOOKUP(Table1[[#This Row],[Employee_ID]],[1]!Table1[[Employee_ID]:[Employee_Name]],2,0)</f>
        <v>#REF!</v>
      </c>
      <c r="J200" s="2" t="b">
        <f>Table1[[#This Row],[Login_Time]]&lt;Table1[[#This Row],[Logout_Time]]</f>
        <v>1</v>
      </c>
    </row>
    <row r="201" spans="1:10" ht="15" hidden="1" customHeight="1">
      <c r="A201" s="2" t="s">
        <v>293</v>
      </c>
      <c r="B201" s="3">
        <v>45707</v>
      </c>
      <c r="C201" s="2" t="s">
        <v>286</v>
      </c>
      <c r="D201" s="2" t="s">
        <v>70</v>
      </c>
      <c r="E201" s="15"/>
      <c r="F201" s="15"/>
      <c r="G201" s="2" t="s">
        <v>11</v>
      </c>
      <c r="H201" t="str">
        <f>_xlfn.CONCAT(Table1[[#This Row],[Attendance_ID]],Table1[[#This Row],[Date]],Table1[[#This Row],[Employee_ID]])</f>
        <v>ATT0033645707EMP1020</v>
      </c>
      <c r="I201" s="12" t="e">
        <f>VLOOKUP(Table1[[#This Row],[Employee_ID]],[1]!Table1[[Employee_ID]:[Employee_Name]],2,0)</f>
        <v>#REF!</v>
      </c>
      <c r="J201" s="2" t="b">
        <f>Table1[[#This Row],[Login_Time]]&lt;Table1[[#This Row],[Logout_Time]]</f>
        <v>0</v>
      </c>
    </row>
    <row r="202" spans="1:10" ht="15" customHeight="1">
      <c r="A202" s="2" t="s">
        <v>294</v>
      </c>
      <c r="B202" s="3">
        <v>45667</v>
      </c>
      <c r="C202" s="2" t="s">
        <v>286</v>
      </c>
      <c r="D202" s="2" t="s">
        <v>9</v>
      </c>
      <c r="E202" s="15" t="s">
        <v>50</v>
      </c>
      <c r="F202" s="15" t="s">
        <v>44</v>
      </c>
      <c r="G202" s="2" t="s">
        <v>21</v>
      </c>
      <c r="H202" t="str">
        <f>_xlfn.CONCAT(Table1[[#This Row],[Attendance_ID]],Table1[[#This Row],[Date]],Table1[[#This Row],[Employee_ID]])</f>
        <v>ATT0038645667EMP1020</v>
      </c>
      <c r="I202" s="12" t="e">
        <f>VLOOKUP(Table1[[#This Row],[Employee_ID]],[1]!Table1[[Employee_ID]:[Employee_Name]],2,0)</f>
        <v>#REF!</v>
      </c>
      <c r="J202" s="2" t="b">
        <f>Table1[[#This Row],[Login_Time]]&lt;Table1[[#This Row],[Logout_Time]]</f>
        <v>1</v>
      </c>
    </row>
    <row r="203" spans="1:10" ht="15" hidden="1" customHeight="1">
      <c r="A203" s="2" t="s">
        <v>295</v>
      </c>
      <c r="B203" s="3">
        <v>45724</v>
      </c>
      <c r="C203" s="2" t="s">
        <v>286</v>
      </c>
      <c r="D203" s="2" t="s">
        <v>70</v>
      </c>
      <c r="E203" s="15"/>
      <c r="F203" s="15"/>
      <c r="G203" s="2" t="s">
        <v>11</v>
      </c>
      <c r="H203" t="str">
        <f>_xlfn.CONCAT(Table1[[#This Row],[Attendance_ID]],Table1[[#This Row],[Date]],Table1[[#This Row],[Employee_ID]])</f>
        <v>ATT0043645724EMP1020</v>
      </c>
      <c r="I203" s="12" t="e">
        <f>VLOOKUP(Table1[[#This Row],[Employee_ID]],[1]!Table1[[Employee_ID]:[Employee_Name]],2,0)</f>
        <v>#REF!</v>
      </c>
      <c r="J203" s="2" t="b">
        <f>Table1[[#This Row],[Login_Time]]&lt;Table1[[#This Row],[Logout_Time]]</f>
        <v>0</v>
      </c>
    </row>
    <row r="204" spans="1:10" ht="15" customHeight="1">
      <c r="A204" s="2" t="s">
        <v>296</v>
      </c>
      <c r="B204" s="3">
        <v>45670</v>
      </c>
      <c r="C204" s="2" t="s">
        <v>286</v>
      </c>
      <c r="D204" s="2" t="s">
        <v>9</v>
      </c>
      <c r="E204" s="15" t="s">
        <v>43</v>
      </c>
      <c r="F204" s="15" t="s">
        <v>51</v>
      </c>
      <c r="G204" s="2" t="s">
        <v>21</v>
      </c>
      <c r="H204" t="str">
        <f>_xlfn.CONCAT(Table1[[#This Row],[Attendance_ID]],Table1[[#This Row],[Date]],Table1[[#This Row],[Employee_ID]])</f>
        <v>ATT0048645670EMP1020</v>
      </c>
      <c r="I204" s="12" t="e">
        <f>VLOOKUP(Table1[[#This Row],[Employee_ID]],[1]!Table1[[Employee_ID]:[Employee_Name]],2,0)</f>
        <v>#REF!</v>
      </c>
      <c r="J204" s="2" t="b">
        <f>Table1[[#This Row],[Login_Time]]&lt;Table1[[#This Row],[Logout_Time]]</f>
        <v>1</v>
      </c>
    </row>
    <row r="205" spans="1:10" ht="15" customHeight="1">
      <c r="A205" s="2" t="s">
        <v>297</v>
      </c>
      <c r="B205" s="3">
        <v>45722</v>
      </c>
      <c r="C205" s="2" t="s">
        <v>298</v>
      </c>
      <c r="D205" s="2" t="s">
        <v>9</v>
      </c>
      <c r="E205" s="15" t="s">
        <v>50</v>
      </c>
      <c r="F205" s="15" t="s">
        <v>101</v>
      </c>
      <c r="G205" s="2" t="s">
        <v>21</v>
      </c>
      <c r="H205" t="str">
        <f>_xlfn.CONCAT(Table1[[#This Row],[Attendance_ID]],Table1[[#This Row],[Date]],Table1[[#This Row],[Employee_ID]])</f>
        <v>ATT0003745722EMP1021</v>
      </c>
      <c r="I205" s="12" t="e">
        <f>VLOOKUP(Table1[[#This Row],[Employee_ID]],[1]!Table1[[Employee_ID]:[Employee_Name]],2,0)</f>
        <v>#REF!</v>
      </c>
      <c r="J205" s="2" t="b">
        <f>Table1[[#This Row],[Login_Time]]&lt;Table1[[#This Row],[Logout_Time]]</f>
        <v>1</v>
      </c>
    </row>
    <row r="206" spans="1:10" ht="15" customHeight="1">
      <c r="A206" s="2" t="s">
        <v>299</v>
      </c>
      <c r="B206" s="3">
        <v>45692</v>
      </c>
      <c r="C206" s="2" t="s">
        <v>298</v>
      </c>
      <c r="D206" s="2" t="s">
        <v>9</v>
      </c>
      <c r="E206" s="15" t="s">
        <v>53</v>
      </c>
      <c r="F206" s="15" t="s">
        <v>168</v>
      </c>
      <c r="G206" s="2" t="s">
        <v>11</v>
      </c>
      <c r="H206" t="str">
        <f>_xlfn.CONCAT(Table1[[#This Row],[Attendance_ID]],Table1[[#This Row],[Date]],Table1[[#This Row],[Employee_ID]])</f>
        <v>ATT0008745692EMP1021</v>
      </c>
      <c r="I206" s="12" t="e">
        <f>VLOOKUP(Table1[[#This Row],[Employee_ID]],[1]!Table1[[Employee_ID]:[Employee_Name]],2,0)</f>
        <v>#REF!</v>
      </c>
      <c r="J206" s="2" t="b">
        <f>Table1[[#This Row],[Login_Time]]&lt;Table1[[#This Row],[Logout_Time]]</f>
        <v>1</v>
      </c>
    </row>
    <row r="207" spans="1:10" ht="15" hidden="1" customHeight="1">
      <c r="A207" s="2" t="s">
        <v>300</v>
      </c>
      <c r="B207" s="3">
        <v>45667</v>
      </c>
      <c r="C207" s="2" t="s">
        <v>298</v>
      </c>
      <c r="D207" s="2" t="s">
        <v>70</v>
      </c>
      <c r="E207" s="15"/>
      <c r="F207" s="15"/>
      <c r="G207" s="2" t="s">
        <v>11</v>
      </c>
      <c r="H207" t="str">
        <f>_xlfn.CONCAT(Table1[[#This Row],[Attendance_ID]],Table1[[#This Row],[Date]],Table1[[#This Row],[Employee_ID]])</f>
        <v>ATT0013745667EMP1021</v>
      </c>
      <c r="I207" s="12" t="e">
        <f>VLOOKUP(Table1[[#This Row],[Employee_ID]],[1]!Table1[[Employee_ID]:[Employee_Name]],2,0)</f>
        <v>#REF!</v>
      </c>
      <c r="J207" s="2" t="b">
        <f>Table1[[#This Row],[Login_Time]]&lt;Table1[[#This Row],[Logout_Time]]</f>
        <v>0</v>
      </c>
    </row>
    <row r="208" spans="1:10" ht="15" customHeight="1">
      <c r="A208" s="2" t="s">
        <v>301</v>
      </c>
      <c r="B208" s="3">
        <v>45705</v>
      </c>
      <c r="C208" s="2" t="s">
        <v>298</v>
      </c>
      <c r="D208" s="2" t="s">
        <v>42</v>
      </c>
      <c r="E208" s="15" t="s">
        <v>100</v>
      </c>
      <c r="F208" s="15" t="s">
        <v>195</v>
      </c>
      <c r="G208" s="2" t="s">
        <v>11</v>
      </c>
      <c r="H208" t="str">
        <f>_xlfn.CONCAT(Table1[[#This Row],[Attendance_ID]],Table1[[#This Row],[Date]],Table1[[#This Row],[Employee_ID]])</f>
        <v>ATT0018745705EMP1021</v>
      </c>
      <c r="I208" s="12" t="e">
        <f>VLOOKUP(Table1[[#This Row],[Employee_ID]],[1]!Table1[[Employee_ID]:[Employee_Name]],2,0)</f>
        <v>#REF!</v>
      </c>
      <c r="J208" s="2" t="b">
        <f>Table1[[#This Row],[Login_Time]]&lt;Table1[[#This Row],[Logout_Time]]</f>
        <v>1</v>
      </c>
    </row>
    <row r="209" spans="1:10" ht="15" customHeight="1">
      <c r="A209" s="2" t="s">
        <v>302</v>
      </c>
      <c r="B209" s="3">
        <v>45729</v>
      </c>
      <c r="C209" s="2" t="s">
        <v>298</v>
      </c>
      <c r="D209" s="2" t="s">
        <v>42</v>
      </c>
      <c r="E209" s="15" t="s">
        <v>31</v>
      </c>
      <c r="F209" s="15" t="s">
        <v>191</v>
      </c>
      <c r="G209" s="2" t="s">
        <v>21</v>
      </c>
      <c r="H209" t="str">
        <f>_xlfn.CONCAT(Table1[[#This Row],[Attendance_ID]],Table1[[#This Row],[Date]],Table1[[#This Row],[Employee_ID]])</f>
        <v>ATT0023745729EMP1021</v>
      </c>
      <c r="I209" s="12" t="e">
        <f>VLOOKUP(Table1[[#This Row],[Employee_ID]],[1]!Table1[[Employee_ID]:[Employee_Name]],2,0)</f>
        <v>#REF!</v>
      </c>
      <c r="J209" s="2" t="b">
        <f>Table1[[#This Row],[Login_Time]]&lt;Table1[[#This Row],[Logout_Time]]</f>
        <v>1</v>
      </c>
    </row>
    <row r="210" spans="1:10" ht="15" customHeight="1">
      <c r="A210" s="2" t="s">
        <v>303</v>
      </c>
      <c r="B210" s="3">
        <v>45702</v>
      </c>
      <c r="C210" s="2" t="s">
        <v>298</v>
      </c>
      <c r="D210" s="2" t="s">
        <v>42</v>
      </c>
      <c r="E210" s="15" t="s">
        <v>19</v>
      </c>
      <c r="F210" s="15" t="s">
        <v>14</v>
      </c>
      <c r="G210" s="2" t="s">
        <v>21</v>
      </c>
      <c r="H210" t="str">
        <f>_xlfn.CONCAT(Table1[[#This Row],[Attendance_ID]],Table1[[#This Row],[Date]],Table1[[#This Row],[Employee_ID]])</f>
        <v>ATT0028745702EMP1021</v>
      </c>
      <c r="I210" s="12" t="e">
        <f>VLOOKUP(Table1[[#This Row],[Employee_ID]],[1]!Table1[[Employee_ID]:[Employee_Name]],2,0)</f>
        <v>#REF!</v>
      </c>
      <c r="J210" s="2" t="b">
        <f>Table1[[#This Row],[Login_Time]]&lt;Table1[[#This Row],[Logout_Time]]</f>
        <v>1</v>
      </c>
    </row>
    <row r="211" spans="1:10" ht="15" customHeight="1">
      <c r="A211" s="2" t="s">
        <v>304</v>
      </c>
      <c r="B211" s="3">
        <v>45689</v>
      </c>
      <c r="C211" s="2" t="s">
        <v>298</v>
      </c>
      <c r="D211" s="2" t="s">
        <v>42</v>
      </c>
      <c r="E211" s="15" t="s">
        <v>50</v>
      </c>
      <c r="F211" s="15" t="s">
        <v>122</v>
      </c>
      <c r="G211" s="2" t="s">
        <v>21</v>
      </c>
      <c r="H211" t="str">
        <f>_xlfn.CONCAT(Table1[[#This Row],[Attendance_ID]],Table1[[#This Row],[Date]],Table1[[#This Row],[Employee_ID]])</f>
        <v>ATT0033745689EMP1021</v>
      </c>
      <c r="I211" s="12" t="e">
        <f>VLOOKUP(Table1[[#This Row],[Employee_ID]],[1]!Table1[[Employee_ID]:[Employee_Name]],2,0)</f>
        <v>#REF!</v>
      </c>
      <c r="J211" s="2" t="b">
        <f>Table1[[#This Row],[Login_Time]]&lt;Table1[[#This Row],[Logout_Time]]</f>
        <v>1</v>
      </c>
    </row>
    <row r="212" spans="1:10" ht="15" customHeight="1">
      <c r="A212" s="2" t="s">
        <v>305</v>
      </c>
      <c r="B212" s="3">
        <v>45733</v>
      </c>
      <c r="C212" s="2" t="s">
        <v>298</v>
      </c>
      <c r="D212" s="2" t="s">
        <v>42</v>
      </c>
      <c r="E212" s="15" t="s">
        <v>47</v>
      </c>
      <c r="F212" s="15" t="s">
        <v>127</v>
      </c>
      <c r="G212" s="2" t="s">
        <v>21</v>
      </c>
      <c r="H212" t="str">
        <f>_xlfn.CONCAT(Table1[[#This Row],[Attendance_ID]],Table1[[#This Row],[Date]],Table1[[#This Row],[Employee_ID]])</f>
        <v>ATT0038745733EMP1021</v>
      </c>
      <c r="I212" s="12" t="e">
        <f>VLOOKUP(Table1[[#This Row],[Employee_ID]],[1]!Table1[[Employee_ID]:[Employee_Name]],2,0)</f>
        <v>#REF!</v>
      </c>
      <c r="J212" s="2" t="b">
        <f>Table1[[#This Row],[Login_Time]]&lt;Table1[[#This Row],[Logout_Time]]</f>
        <v>1</v>
      </c>
    </row>
    <row r="213" spans="1:10" ht="15" hidden="1" customHeight="1">
      <c r="A213" s="2" t="s">
        <v>306</v>
      </c>
      <c r="B213" s="3">
        <v>45668</v>
      </c>
      <c r="C213" s="2" t="s">
        <v>298</v>
      </c>
      <c r="D213" s="2" t="s">
        <v>70</v>
      </c>
      <c r="E213" s="15"/>
      <c r="F213" s="15"/>
      <c r="G213" s="2" t="s">
        <v>11</v>
      </c>
      <c r="H213" t="str">
        <f>_xlfn.CONCAT(Table1[[#This Row],[Attendance_ID]],Table1[[#This Row],[Date]],Table1[[#This Row],[Employee_ID]])</f>
        <v>ATT0043745668EMP1021</v>
      </c>
      <c r="I213" s="12" t="e">
        <f>VLOOKUP(Table1[[#This Row],[Employee_ID]],[1]!Table1[[Employee_ID]:[Employee_Name]],2,0)</f>
        <v>#REF!</v>
      </c>
      <c r="J213" s="2" t="b">
        <f>Table1[[#This Row],[Login_Time]]&lt;Table1[[#This Row],[Logout_Time]]</f>
        <v>0</v>
      </c>
    </row>
    <row r="214" spans="1:10" ht="15" customHeight="1">
      <c r="A214" s="2" t="s">
        <v>307</v>
      </c>
      <c r="B214" s="3">
        <v>45684</v>
      </c>
      <c r="C214" s="2" t="s">
        <v>298</v>
      </c>
      <c r="D214" s="2" t="s">
        <v>9</v>
      </c>
      <c r="E214" s="15" t="s">
        <v>136</v>
      </c>
      <c r="F214" s="15" t="s">
        <v>127</v>
      </c>
      <c r="G214" s="2" t="s">
        <v>21</v>
      </c>
      <c r="H214" t="str">
        <f>_xlfn.CONCAT(Table1[[#This Row],[Attendance_ID]],Table1[[#This Row],[Date]],Table1[[#This Row],[Employee_ID]])</f>
        <v>ATT0048745684EMP1021</v>
      </c>
      <c r="I214" s="12" t="e">
        <f>VLOOKUP(Table1[[#This Row],[Employee_ID]],[1]!Table1[[Employee_ID]:[Employee_Name]],2,0)</f>
        <v>#REF!</v>
      </c>
      <c r="J214" s="2" t="b">
        <f>Table1[[#This Row],[Login_Time]]&lt;Table1[[#This Row],[Logout_Time]]</f>
        <v>1</v>
      </c>
    </row>
    <row r="215" spans="1:10" ht="15" hidden="1" customHeight="1">
      <c r="A215" s="2" t="s">
        <v>308</v>
      </c>
      <c r="B215" s="3">
        <v>45703</v>
      </c>
      <c r="C215" s="2" t="s">
        <v>309</v>
      </c>
      <c r="D215" s="2" t="s">
        <v>26</v>
      </c>
      <c r="E215" s="15"/>
      <c r="F215" s="15"/>
      <c r="G215" s="2" t="s">
        <v>11</v>
      </c>
      <c r="H215" t="str">
        <f>_xlfn.CONCAT(Table1[[#This Row],[Attendance_ID]],Table1[[#This Row],[Date]],Table1[[#This Row],[Employee_ID]])</f>
        <v>ATT0003845703EMP1022</v>
      </c>
      <c r="I215" s="12" t="e">
        <f>VLOOKUP(Table1[[#This Row],[Employee_ID]],[1]!Table1[[Employee_ID]:[Employee_Name]],2,0)</f>
        <v>#REF!</v>
      </c>
      <c r="J215" s="2" t="b">
        <f>Table1[[#This Row],[Login_Time]]&lt;Table1[[#This Row],[Logout_Time]]</f>
        <v>0</v>
      </c>
    </row>
    <row r="216" spans="1:10" ht="15" customHeight="1">
      <c r="A216" s="2" t="s">
        <v>310</v>
      </c>
      <c r="B216" s="3">
        <v>45674</v>
      </c>
      <c r="C216" s="2" t="s">
        <v>309</v>
      </c>
      <c r="D216" s="2" t="s">
        <v>9</v>
      </c>
      <c r="E216" s="15" t="s">
        <v>43</v>
      </c>
      <c r="F216" s="15" t="s">
        <v>165</v>
      </c>
      <c r="G216" s="2" t="s">
        <v>21</v>
      </c>
      <c r="H216" t="str">
        <f>_xlfn.CONCAT(Table1[[#This Row],[Attendance_ID]],Table1[[#This Row],[Date]],Table1[[#This Row],[Employee_ID]])</f>
        <v>ATT0008845674EMP1022</v>
      </c>
      <c r="I216" s="12" t="e">
        <f>VLOOKUP(Table1[[#This Row],[Employee_ID]],[1]!Table1[[Employee_ID]:[Employee_Name]],2,0)</f>
        <v>#REF!</v>
      </c>
      <c r="J216" s="2" t="b">
        <f>Table1[[#This Row],[Login_Time]]&lt;Table1[[#This Row],[Logout_Time]]</f>
        <v>1</v>
      </c>
    </row>
    <row r="217" spans="1:10" ht="15" customHeight="1">
      <c r="A217" s="2" t="s">
        <v>311</v>
      </c>
      <c r="B217" s="3">
        <v>45699</v>
      </c>
      <c r="C217" s="2" t="s">
        <v>309</v>
      </c>
      <c r="D217" s="2" t="s">
        <v>9</v>
      </c>
      <c r="E217" s="15" t="s">
        <v>108</v>
      </c>
      <c r="F217" s="15" t="s">
        <v>113</v>
      </c>
      <c r="G217" s="2" t="s">
        <v>11</v>
      </c>
      <c r="H217" t="str">
        <f>_xlfn.CONCAT(Table1[[#This Row],[Attendance_ID]],Table1[[#This Row],[Date]],Table1[[#This Row],[Employee_ID]])</f>
        <v>ATT0013845699EMP1022</v>
      </c>
      <c r="I217" s="12" t="e">
        <f>VLOOKUP(Table1[[#This Row],[Employee_ID]],[1]!Table1[[Employee_ID]:[Employee_Name]],2,0)</f>
        <v>#REF!</v>
      </c>
      <c r="J217" s="2" t="b">
        <f>Table1[[#This Row],[Login_Time]]&lt;Table1[[#This Row],[Logout_Time]]</f>
        <v>1</v>
      </c>
    </row>
    <row r="218" spans="1:10" ht="15" customHeight="1">
      <c r="A218" s="2" t="s">
        <v>312</v>
      </c>
      <c r="B218" s="3">
        <v>45735</v>
      </c>
      <c r="C218" s="2" t="s">
        <v>309</v>
      </c>
      <c r="D218" s="2" t="s">
        <v>9</v>
      </c>
      <c r="E218" s="15" t="s">
        <v>100</v>
      </c>
      <c r="F218" s="15" t="s">
        <v>32</v>
      </c>
      <c r="G218" s="2" t="s">
        <v>11</v>
      </c>
      <c r="H218" t="str">
        <f>_xlfn.CONCAT(Table1[[#This Row],[Attendance_ID]],Table1[[#This Row],[Date]],Table1[[#This Row],[Employee_ID]])</f>
        <v>ATT0018845735EMP1022</v>
      </c>
      <c r="I218" s="12" t="e">
        <f>VLOOKUP(Table1[[#This Row],[Employee_ID]],[1]!Table1[[Employee_ID]:[Employee_Name]],2,0)</f>
        <v>#REF!</v>
      </c>
      <c r="J218" s="2" t="b">
        <f>Table1[[#This Row],[Login_Time]]&lt;Table1[[#This Row],[Logout_Time]]</f>
        <v>1</v>
      </c>
    </row>
    <row r="219" spans="1:10" ht="15" customHeight="1">
      <c r="A219" s="2" t="s">
        <v>313</v>
      </c>
      <c r="B219" s="3">
        <v>45692</v>
      </c>
      <c r="C219" s="2" t="s">
        <v>309</v>
      </c>
      <c r="D219" s="2" t="s">
        <v>42</v>
      </c>
      <c r="E219" s="15" t="s">
        <v>80</v>
      </c>
      <c r="F219" s="15" t="s">
        <v>168</v>
      </c>
      <c r="G219" s="2" t="s">
        <v>21</v>
      </c>
      <c r="H219" t="str">
        <f>_xlfn.CONCAT(Table1[[#This Row],[Attendance_ID]],Table1[[#This Row],[Date]],Table1[[#This Row],[Employee_ID]])</f>
        <v>ATT0023845692EMP1022</v>
      </c>
      <c r="I219" s="12" t="e">
        <f>VLOOKUP(Table1[[#This Row],[Employee_ID]],[1]!Table1[[Employee_ID]:[Employee_Name]],2,0)</f>
        <v>#REF!</v>
      </c>
      <c r="J219" s="2" t="b">
        <f>Table1[[#This Row],[Login_Time]]&lt;Table1[[#This Row],[Logout_Time]]</f>
        <v>1</v>
      </c>
    </row>
    <row r="220" spans="1:10" ht="15" customHeight="1">
      <c r="A220" s="2" t="s">
        <v>314</v>
      </c>
      <c r="B220" s="3">
        <v>45688</v>
      </c>
      <c r="C220" s="2" t="s">
        <v>309</v>
      </c>
      <c r="D220" s="2" t="s">
        <v>42</v>
      </c>
      <c r="E220" s="15" t="s">
        <v>28</v>
      </c>
      <c r="F220" s="15" t="s">
        <v>90</v>
      </c>
      <c r="G220" s="2" t="s">
        <v>21</v>
      </c>
      <c r="H220" t="str">
        <f>_xlfn.CONCAT(Table1[[#This Row],[Attendance_ID]],Table1[[#This Row],[Date]],Table1[[#This Row],[Employee_ID]])</f>
        <v>ATT0028845688EMP1022</v>
      </c>
      <c r="I220" s="12" t="e">
        <f>VLOOKUP(Table1[[#This Row],[Employee_ID]],[1]!Table1[[Employee_ID]:[Employee_Name]],2,0)</f>
        <v>#REF!</v>
      </c>
      <c r="J220" s="2" t="b">
        <f>Table1[[#This Row],[Login_Time]]&lt;Table1[[#This Row],[Logout_Time]]</f>
        <v>1</v>
      </c>
    </row>
    <row r="221" spans="1:10" ht="15" customHeight="1">
      <c r="A221" s="2" t="s">
        <v>315</v>
      </c>
      <c r="B221" s="3">
        <v>45720</v>
      </c>
      <c r="C221" s="2" t="s">
        <v>309</v>
      </c>
      <c r="D221" s="2" t="s">
        <v>9</v>
      </c>
      <c r="E221" s="15" t="s">
        <v>149</v>
      </c>
      <c r="F221" s="15" t="s">
        <v>191</v>
      </c>
      <c r="G221" s="2" t="s">
        <v>21</v>
      </c>
      <c r="H221" t="str">
        <f>_xlfn.CONCAT(Table1[[#This Row],[Attendance_ID]],Table1[[#This Row],[Date]],Table1[[#This Row],[Employee_ID]])</f>
        <v>ATT0033845720EMP1022</v>
      </c>
      <c r="I221" s="12" t="e">
        <f>VLOOKUP(Table1[[#This Row],[Employee_ID]],[1]!Table1[[Employee_ID]:[Employee_Name]],2,0)</f>
        <v>#REF!</v>
      </c>
      <c r="J221" s="2" t="b">
        <f>Table1[[#This Row],[Login_Time]]&lt;Table1[[#This Row],[Logout_Time]]</f>
        <v>1</v>
      </c>
    </row>
    <row r="222" spans="1:10" ht="15" hidden="1" customHeight="1">
      <c r="A222" s="2" t="s">
        <v>316</v>
      </c>
      <c r="B222" s="3">
        <v>45693</v>
      </c>
      <c r="C222" s="2" t="s">
        <v>309</v>
      </c>
      <c r="D222" s="2" t="s">
        <v>70</v>
      </c>
      <c r="E222" s="15"/>
      <c r="F222" s="15"/>
      <c r="G222" s="2" t="s">
        <v>11</v>
      </c>
      <c r="H222" t="str">
        <f>_xlfn.CONCAT(Table1[[#This Row],[Attendance_ID]],Table1[[#This Row],[Date]],Table1[[#This Row],[Employee_ID]])</f>
        <v>ATT0038845693EMP1022</v>
      </c>
      <c r="I222" s="12" t="e">
        <f>VLOOKUP(Table1[[#This Row],[Employee_ID]],[1]!Table1[[Employee_ID]:[Employee_Name]],2,0)</f>
        <v>#REF!</v>
      </c>
      <c r="J222" s="2" t="b">
        <f>Table1[[#This Row],[Login_Time]]&lt;Table1[[#This Row],[Logout_Time]]</f>
        <v>0</v>
      </c>
    </row>
    <row r="223" spans="1:10" ht="15" customHeight="1">
      <c r="A223" s="2" t="s">
        <v>317</v>
      </c>
      <c r="B223" s="3">
        <v>45740</v>
      </c>
      <c r="C223" s="2" t="s">
        <v>309</v>
      </c>
      <c r="D223" s="2" t="s">
        <v>42</v>
      </c>
      <c r="E223" s="15" t="s">
        <v>105</v>
      </c>
      <c r="F223" s="15" t="s">
        <v>20</v>
      </c>
      <c r="G223" s="2" t="s">
        <v>21</v>
      </c>
      <c r="H223" t="str">
        <f>_xlfn.CONCAT(Table1[[#This Row],[Attendance_ID]],Table1[[#This Row],[Date]],Table1[[#This Row],[Employee_ID]])</f>
        <v>ATT0043845740EMP1022</v>
      </c>
      <c r="I223" s="12" t="e">
        <f>VLOOKUP(Table1[[#This Row],[Employee_ID]],[1]!Table1[[Employee_ID]:[Employee_Name]],2,0)</f>
        <v>#REF!</v>
      </c>
      <c r="J223" s="2" t="b">
        <f>Table1[[#This Row],[Login_Time]]&lt;Table1[[#This Row],[Logout_Time]]</f>
        <v>1</v>
      </c>
    </row>
    <row r="224" spans="1:10" ht="15" hidden="1" customHeight="1">
      <c r="A224" s="2" t="s">
        <v>318</v>
      </c>
      <c r="B224" s="3">
        <v>45696</v>
      </c>
      <c r="C224" s="2" t="s">
        <v>309</v>
      </c>
      <c r="D224" s="2" t="s">
        <v>26</v>
      </c>
      <c r="E224" s="15"/>
      <c r="F224" s="15"/>
      <c r="G224" s="2" t="s">
        <v>11</v>
      </c>
      <c r="H224" t="str">
        <f>_xlfn.CONCAT(Table1[[#This Row],[Attendance_ID]],Table1[[#This Row],[Date]],Table1[[#This Row],[Employee_ID]])</f>
        <v>ATT0048845696EMP1022</v>
      </c>
      <c r="I224" s="12" t="e">
        <f>VLOOKUP(Table1[[#This Row],[Employee_ID]],[1]!Table1[[Employee_ID]:[Employee_Name]],2,0)</f>
        <v>#REF!</v>
      </c>
      <c r="J224" s="2" t="b">
        <f>Table1[[#This Row],[Login_Time]]&lt;Table1[[#This Row],[Logout_Time]]</f>
        <v>0</v>
      </c>
    </row>
    <row r="225" spans="1:10" ht="15" hidden="1" customHeight="1">
      <c r="A225" s="2" t="s">
        <v>319</v>
      </c>
      <c r="B225" s="3">
        <v>45703</v>
      </c>
      <c r="C225" s="2" t="s">
        <v>320</v>
      </c>
      <c r="D225" s="2" t="s">
        <v>26</v>
      </c>
      <c r="E225" s="15"/>
      <c r="F225" s="15"/>
      <c r="G225" s="2" t="s">
        <v>11</v>
      </c>
      <c r="H225" t="str">
        <f>_xlfn.CONCAT(Table1[[#This Row],[Attendance_ID]],Table1[[#This Row],[Date]],Table1[[#This Row],[Employee_ID]])</f>
        <v>ATT0003945703EMP1023</v>
      </c>
      <c r="I225" s="12" t="e">
        <f>VLOOKUP(Table1[[#This Row],[Employee_ID]],[1]!Table1[[Employee_ID]:[Employee_Name]],2,0)</f>
        <v>#REF!</v>
      </c>
      <c r="J225" s="2" t="b">
        <f>Table1[[#This Row],[Login_Time]]&lt;Table1[[#This Row],[Logout_Time]]</f>
        <v>0</v>
      </c>
    </row>
    <row r="226" spans="1:10" ht="15" customHeight="1">
      <c r="A226" s="2" t="s">
        <v>321</v>
      </c>
      <c r="B226" s="3">
        <v>45678</v>
      </c>
      <c r="C226" s="2" t="s">
        <v>320</v>
      </c>
      <c r="D226" s="2" t="s">
        <v>42</v>
      </c>
      <c r="E226" s="15" t="s">
        <v>149</v>
      </c>
      <c r="F226" s="15" t="s">
        <v>154</v>
      </c>
      <c r="G226" s="2" t="s">
        <v>21</v>
      </c>
      <c r="H226" t="str">
        <f>_xlfn.CONCAT(Table1[[#This Row],[Attendance_ID]],Table1[[#This Row],[Date]],Table1[[#This Row],[Employee_ID]])</f>
        <v>ATT0008945678EMP1023</v>
      </c>
      <c r="I226" s="12" t="e">
        <f>VLOOKUP(Table1[[#This Row],[Employee_ID]],[1]!Table1[[Employee_ID]:[Employee_Name]],2,0)</f>
        <v>#REF!</v>
      </c>
      <c r="J226" s="2" t="b">
        <f>Table1[[#This Row],[Login_Time]]&lt;Table1[[#This Row],[Logout_Time]]</f>
        <v>1</v>
      </c>
    </row>
    <row r="227" spans="1:10" ht="15" customHeight="1">
      <c r="A227" s="2" t="s">
        <v>322</v>
      </c>
      <c r="B227" s="3">
        <v>45672</v>
      </c>
      <c r="C227" s="2" t="s">
        <v>320</v>
      </c>
      <c r="D227" s="2" t="s">
        <v>9</v>
      </c>
      <c r="E227" s="15" t="s">
        <v>16</v>
      </c>
      <c r="F227" s="15" t="s">
        <v>113</v>
      </c>
      <c r="G227" s="2" t="s">
        <v>11</v>
      </c>
      <c r="H227" t="str">
        <f>_xlfn.CONCAT(Table1[[#This Row],[Attendance_ID]],Table1[[#This Row],[Date]],Table1[[#This Row],[Employee_ID]])</f>
        <v>ATT0013945672EMP1023</v>
      </c>
      <c r="I227" s="12" t="e">
        <f>VLOOKUP(Table1[[#This Row],[Employee_ID]],[1]!Table1[[Employee_ID]:[Employee_Name]],2,0)</f>
        <v>#REF!</v>
      </c>
      <c r="J227" s="2" t="b">
        <f>Table1[[#This Row],[Login_Time]]&lt;Table1[[#This Row],[Logout_Time]]</f>
        <v>1</v>
      </c>
    </row>
    <row r="228" spans="1:10" ht="15" customHeight="1">
      <c r="A228" s="2" t="s">
        <v>323</v>
      </c>
      <c r="B228" s="3">
        <v>45703</v>
      </c>
      <c r="C228" s="2" t="s">
        <v>320</v>
      </c>
      <c r="D228" s="2" t="s">
        <v>9</v>
      </c>
      <c r="E228" s="15" t="s">
        <v>23</v>
      </c>
      <c r="F228" s="15" t="s">
        <v>10</v>
      </c>
      <c r="G228" s="2" t="s">
        <v>11</v>
      </c>
      <c r="H228" t="str">
        <f>_xlfn.CONCAT(Table1[[#This Row],[Attendance_ID]],Table1[[#This Row],[Date]],Table1[[#This Row],[Employee_ID]])</f>
        <v>ATT0018945703EMP1023</v>
      </c>
      <c r="I228" s="12" t="e">
        <f>VLOOKUP(Table1[[#This Row],[Employee_ID]],[1]!Table1[[Employee_ID]:[Employee_Name]],2,0)</f>
        <v>#REF!</v>
      </c>
      <c r="J228" s="2" t="b">
        <f>Table1[[#This Row],[Login_Time]]&lt;Table1[[#This Row],[Logout_Time]]</f>
        <v>1</v>
      </c>
    </row>
    <row r="229" spans="1:10" ht="15" customHeight="1">
      <c r="A229" s="2" t="s">
        <v>324</v>
      </c>
      <c r="B229" s="3">
        <v>45727</v>
      </c>
      <c r="C229" s="2" t="s">
        <v>320</v>
      </c>
      <c r="D229" s="2" t="s">
        <v>9</v>
      </c>
      <c r="E229" s="15" t="s">
        <v>100</v>
      </c>
      <c r="F229" s="15" t="s">
        <v>32</v>
      </c>
      <c r="G229" s="2" t="s">
        <v>11</v>
      </c>
      <c r="H229" t="str">
        <f>_xlfn.CONCAT(Table1[[#This Row],[Attendance_ID]],Table1[[#This Row],[Date]],Table1[[#This Row],[Employee_ID]])</f>
        <v>ATT0023945727EMP1023</v>
      </c>
      <c r="I229" s="12" t="e">
        <f>VLOOKUP(Table1[[#This Row],[Employee_ID]],[1]!Table1[[Employee_ID]:[Employee_Name]],2,0)</f>
        <v>#REF!</v>
      </c>
      <c r="J229" s="2" t="b">
        <f>Table1[[#This Row],[Login_Time]]&lt;Table1[[#This Row],[Logout_Time]]</f>
        <v>1</v>
      </c>
    </row>
    <row r="230" spans="1:10" ht="15" customHeight="1">
      <c r="A230" s="2" t="s">
        <v>325</v>
      </c>
      <c r="B230" s="3">
        <v>45690</v>
      </c>
      <c r="C230" s="2" t="s">
        <v>320</v>
      </c>
      <c r="D230" s="2" t="s">
        <v>9</v>
      </c>
      <c r="E230" s="15" t="s">
        <v>100</v>
      </c>
      <c r="F230" s="15" t="s">
        <v>51</v>
      </c>
      <c r="G230" s="2" t="s">
        <v>11</v>
      </c>
      <c r="H230" t="str">
        <f>_xlfn.CONCAT(Table1[[#This Row],[Attendance_ID]],Table1[[#This Row],[Date]],Table1[[#This Row],[Employee_ID]])</f>
        <v>ATT0028945690EMP1023</v>
      </c>
      <c r="I230" s="12" t="e">
        <f>VLOOKUP(Table1[[#This Row],[Employee_ID]],[1]!Table1[[Employee_ID]:[Employee_Name]],2,0)</f>
        <v>#REF!</v>
      </c>
      <c r="J230" s="2" t="b">
        <f>Table1[[#This Row],[Login_Time]]&lt;Table1[[#This Row],[Logout_Time]]</f>
        <v>1</v>
      </c>
    </row>
    <row r="231" spans="1:10" ht="15" hidden="1" customHeight="1">
      <c r="A231" s="2" t="s">
        <v>326</v>
      </c>
      <c r="B231" s="3">
        <v>45669</v>
      </c>
      <c r="C231" s="2" t="s">
        <v>320</v>
      </c>
      <c r="D231" s="2" t="s">
        <v>26</v>
      </c>
      <c r="E231" s="15"/>
      <c r="F231" s="15"/>
      <c r="G231" s="2" t="s">
        <v>11</v>
      </c>
      <c r="H231" t="str">
        <f>_xlfn.CONCAT(Table1[[#This Row],[Attendance_ID]],Table1[[#This Row],[Date]],Table1[[#This Row],[Employee_ID]])</f>
        <v>ATT0033945669EMP1023</v>
      </c>
      <c r="I231" s="12" t="e">
        <f>VLOOKUP(Table1[[#This Row],[Employee_ID]],[1]!Table1[[Employee_ID]:[Employee_Name]],2,0)</f>
        <v>#REF!</v>
      </c>
      <c r="J231" s="2" t="b">
        <f>Table1[[#This Row],[Login_Time]]&lt;Table1[[#This Row],[Logout_Time]]</f>
        <v>0</v>
      </c>
    </row>
    <row r="232" spans="1:10" ht="15" customHeight="1">
      <c r="A232" s="2" t="s">
        <v>327</v>
      </c>
      <c r="B232" s="3">
        <v>45690</v>
      </c>
      <c r="C232" s="2" t="s">
        <v>320</v>
      </c>
      <c r="D232" s="2" t="s">
        <v>42</v>
      </c>
      <c r="E232" s="15" t="s">
        <v>43</v>
      </c>
      <c r="F232" s="15" t="s">
        <v>35</v>
      </c>
      <c r="G232" s="2" t="s">
        <v>21</v>
      </c>
      <c r="H232" t="str">
        <f>_xlfn.CONCAT(Table1[[#This Row],[Attendance_ID]],Table1[[#This Row],[Date]],Table1[[#This Row],[Employee_ID]])</f>
        <v>ATT0038945690EMP1023</v>
      </c>
      <c r="I232" s="12" t="e">
        <f>VLOOKUP(Table1[[#This Row],[Employee_ID]],[1]!Table1[[Employee_ID]:[Employee_Name]],2,0)</f>
        <v>#REF!</v>
      </c>
      <c r="J232" s="2" t="b">
        <f>Table1[[#This Row],[Login_Time]]&lt;Table1[[#This Row],[Logout_Time]]</f>
        <v>1</v>
      </c>
    </row>
    <row r="233" spans="1:10" ht="15" customHeight="1">
      <c r="A233" s="2" t="s">
        <v>328</v>
      </c>
      <c r="B233" s="3">
        <v>45732</v>
      </c>
      <c r="C233" s="2" t="s">
        <v>320</v>
      </c>
      <c r="D233" s="2" t="s">
        <v>9</v>
      </c>
      <c r="E233" s="15" t="s">
        <v>89</v>
      </c>
      <c r="F233" s="15" t="s">
        <v>113</v>
      </c>
      <c r="G233" s="2" t="s">
        <v>21</v>
      </c>
      <c r="H233" t="str">
        <f>_xlfn.CONCAT(Table1[[#This Row],[Attendance_ID]],Table1[[#This Row],[Date]],Table1[[#This Row],[Employee_ID]])</f>
        <v>ATT0043945732EMP1023</v>
      </c>
      <c r="I233" s="12" t="e">
        <f>VLOOKUP(Table1[[#This Row],[Employee_ID]],[1]!Table1[[Employee_ID]:[Employee_Name]],2,0)</f>
        <v>#REF!</v>
      </c>
      <c r="J233" s="2" t="b">
        <f>Table1[[#This Row],[Login_Time]]&lt;Table1[[#This Row],[Logout_Time]]</f>
        <v>1</v>
      </c>
    </row>
    <row r="234" spans="1:10" ht="15" customHeight="1">
      <c r="A234" s="2" t="s">
        <v>329</v>
      </c>
      <c r="B234" s="3">
        <v>45685</v>
      </c>
      <c r="C234" s="2" t="s">
        <v>320</v>
      </c>
      <c r="D234" s="2" t="s">
        <v>9</v>
      </c>
      <c r="E234" s="15" t="s">
        <v>80</v>
      </c>
      <c r="F234" s="15" t="s">
        <v>86</v>
      </c>
      <c r="G234" s="2" t="s">
        <v>21</v>
      </c>
      <c r="H234" t="str">
        <f>_xlfn.CONCAT(Table1[[#This Row],[Attendance_ID]],Table1[[#This Row],[Date]],Table1[[#This Row],[Employee_ID]])</f>
        <v>ATT0048945685EMP1023</v>
      </c>
      <c r="I234" s="12" t="e">
        <f>VLOOKUP(Table1[[#This Row],[Employee_ID]],[1]!Table1[[Employee_ID]:[Employee_Name]],2,0)</f>
        <v>#REF!</v>
      </c>
      <c r="J234" s="2" t="b">
        <f>Table1[[#This Row],[Login_Time]]&lt;Table1[[#This Row],[Logout_Time]]</f>
        <v>1</v>
      </c>
    </row>
    <row r="235" spans="1:10" ht="15" customHeight="1">
      <c r="A235" s="2" t="s">
        <v>330</v>
      </c>
      <c r="B235" s="3">
        <v>45697</v>
      </c>
      <c r="C235" s="2" t="s">
        <v>331</v>
      </c>
      <c r="D235" s="2" t="s">
        <v>9</v>
      </c>
      <c r="E235" s="15" t="s">
        <v>136</v>
      </c>
      <c r="F235" s="15" t="s">
        <v>24</v>
      </c>
      <c r="G235" s="2" t="s">
        <v>21</v>
      </c>
      <c r="H235" t="str">
        <f>_xlfn.CONCAT(Table1[[#This Row],[Attendance_ID]],Table1[[#This Row],[Date]],Table1[[#This Row],[Employee_ID]])</f>
        <v>ATT0004045697EMP1024</v>
      </c>
      <c r="I235" s="12" t="e">
        <f>VLOOKUP(Table1[[#This Row],[Employee_ID]],[1]!Table1[[Employee_ID]:[Employee_Name]],2,0)</f>
        <v>#REF!</v>
      </c>
      <c r="J235" s="2" t="b">
        <f>Table1[[#This Row],[Login_Time]]&lt;Table1[[#This Row],[Logout_Time]]</f>
        <v>1</v>
      </c>
    </row>
    <row r="236" spans="1:10" ht="15" customHeight="1">
      <c r="A236" s="2" t="s">
        <v>332</v>
      </c>
      <c r="B236" s="3">
        <v>45661</v>
      </c>
      <c r="C236" s="2" t="s">
        <v>331</v>
      </c>
      <c r="D236" s="2" t="s">
        <v>9</v>
      </c>
      <c r="E236" s="15" t="s">
        <v>80</v>
      </c>
      <c r="F236" s="15" t="s">
        <v>122</v>
      </c>
      <c r="G236" s="2" t="s">
        <v>21</v>
      </c>
      <c r="H236" t="str">
        <f>_xlfn.CONCAT(Table1[[#This Row],[Attendance_ID]],Table1[[#This Row],[Date]],Table1[[#This Row],[Employee_ID]])</f>
        <v>ATT0009045661EMP1024</v>
      </c>
      <c r="I236" s="12" t="e">
        <f>VLOOKUP(Table1[[#This Row],[Employee_ID]],[1]!Table1[[Employee_ID]:[Employee_Name]],2,0)</f>
        <v>#REF!</v>
      </c>
      <c r="J236" s="2" t="b">
        <f>Table1[[#This Row],[Login_Time]]&lt;Table1[[#This Row],[Logout_Time]]</f>
        <v>1</v>
      </c>
    </row>
    <row r="237" spans="1:10" ht="15" customHeight="1">
      <c r="A237" s="2" t="s">
        <v>333</v>
      </c>
      <c r="B237" s="3">
        <v>45683</v>
      </c>
      <c r="C237" s="2" t="s">
        <v>331</v>
      </c>
      <c r="D237" s="2" t="s">
        <v>9</v>
      </c>
      <c r="E237" s="15" t="s">
        <v>19</v>
      </c>
      <c r="F237" s="15" t="s">
        <v>51</v>
      </c>
      <c r="G237" s="2" t="s">
        <v>21</v>
      </c>
      <c r="H237" t="str">
        <f>_xlfn.CONCAT(Table1[[#This Row],[Attendance_ID]],Table1[[#This Row],[Date]],Table1[[#This Row],[Employee_ID]])</f>
        <v>ATT0014045683EMP1024</v>
      </c>
      <c r="I237" s="12" t="e">
        <f>VLOOKUP(Table1[[#This Row],[Employee_ID]],[1]!Table1[[Employee_ID]:[Employee_Name]],2,0)</f>
        <v>#REF!</v>
      </c>
      <c r="J237" s="2" t="b">
        <f>Table1[[#This Row],[Login_Time]]&lt;Table1[[#This Row],[Logout_Time]]</f>
        <v>1</v>
      </c>
    </row>
    <row r="238" spans="1:10" ht="15" customHeight="1">
      <c r="A238" s="2" t="s">
        <v>334</v>
      </c>
      <c r="B238" s="3">
        <v>45736</v>
      </c>
      <c r="C238" s="2" t="s">
        <v>331</v>
      </c>
      <c r="D238" s="2" t="s">
        <v>9</v>
      </c>
      <c r="E238" s="15" t="s">
        <v>16</v>
      </c>
      <c r="F238" s="15" t="s">
        <v>78</v>
      </c>
      <c r="G238" s="2" t="s">
        <v>11</v>
      </c>
      <c r="H238" t="str">
        <f>_xlfn.CONCAT(Table1[[#This Row],[Attendance_ID]],Table1[[#This Row],[Date]],Table1[[#This Row],[Employee_ID]])</f>
        <v>ATT0019045736EMP1024</v>
      </c>
      <c r="I238" s="12" t="e">
        <f>VLOOKUP(Table1[[#This Row],[Employee_ID]],[1]!Table1[[Employee_ID]:[Employee_Name]],2,0)</f>
        <v>#REF!</v>
      </c>
      <c r="J238" s="2" t="b">
        <f>Table1[[#This Row],[Login_Time]]&lt;Table1[[#This Row],[Logout_Time]]</f>
        <v>1</v>
      </c>
    </row>
    <row r="239" spans="1:10" ht="15" customHeight="1">
      <c r="A239" s="2" t="s">
        <v>335</v>
      </c>
      <c r="B239" s="3">
        <v>45698</v>
      </c>
      <c r="C239" s="2" t="s">
        <v>331</v>
      </c>
      <c r="D239" s="2" t="s">
        <v>42</v>
      </c>
      <c r="E239" s="15" t="s">
        <v>28</v>
      </c>
      <c r="F239" s="15" t="s">
        <v>48</v>
      </c>
      <c r="G239" s="2" t="s">
        <v>21</v>
      </c>
      <c r="H239" t="str">
        <f>_xlfn.CONCAT(Table1[[#This Row],[Attendance_ID]],Table1[[#This Row],[Date]],Table1[[#This Row],[Employee_ID]])</f>
        <v>ATT0024045698EMP1024</v>
      </c>
      <c r="I239" s="12" t="e">
        <f>VLOOKUP(Table1[[#This Row],[Employee_ID]],[1]!Table1[[Employee_ID]:[Employee_Name]],2,0)</f>
        <v>#REF!</v>
      </c>
      <c r="J239" s="2" t="b">
        <f>Table1[[#This Row],[Login_Time]]&lt;Table1[[#This Row],[Logout_Time]]</f>
        <v>1</v>
      </c>
    </row>
    <row r="240" spans="1:10" ht="15" customHeight="1">
      <c r="A240" s="2" t="s">
        <v>336</v>
      </c>
      <c r="B240" s="3">
        <v>45719</v>
      </c>
      <c r="C240" s="2" t="s">
        <v>331</v>
      </c>
      <c r="D240" s="2" t="s">
        <v>9</v>
      </c>
      <c r="E240" s="15" t="s">
        <v>13</v>
      </c>
      <c r="F240" s="15" t="s">
        <v>72</v>
      </c>
      <c r="G240" s="2" t="s">
        <v>11</v>
      </c>
      <c r="H240" t="str">
        <f>_xlfn.CONCAT(Table1[[#This Row],[Attendance_ID]],Table1[[#This Row],[Date]],Table1[[#This Row],[Employee_ID]])</f>
        <v>ATT0029045719EMP1024</v>
      </c>
      <c r="I240" s="12" t="e">
        <f>VLOOKUP(Table1[[#This Row],[Employee_ID]],[1]!Table1[[Employee_ID]:[Employee_Name]],2,0)</f>
        <v>#REF!</v>
      </c>
      <c r="J240" s="2" t="b">
        <f>Table1[[#This Row],[Login_Time]]&lt;Table1[[#This Row],[Logout_Time]]</f>
        <v>1</v>
      </c>
    </row>
    <row r="241" spans="1:10" ht="15" customHeight="1">
      <c r="A241" s="2" t="s">
        <v>337</v>
      </c>
      <c r="B241" s="3">
        <v>45734</v>
      </c>
      <c r="C241" s="2" t="s">
        <v>331</v>
      </c>
      <c r="D241" s="2" t="s">
        <v>9</v>
      </c>
      <c r="E241" s="15" t="s">
        <v>23</v>
      </c>
      <c r="F241" s="15" t="s">
        <v>122</v>
      </c>
      <c r="G241" s="2" t="s">
        <v>11</v>
      </c>
      <c r="H241" t="str">
        <f>_xlfn.CONCAT(Table1[[#This Row],[Attendance_ID]],Table1[[#This Row],[Date]],Table1[[#This Row],[Employee_ID]])</f>
        <v>ATT0034045734EMP1024</v>
      </c>
      <c r="I241" s="12" t="e">
        <f>VLOOKUP(Table1[[#This Row],[Employee_ID]],[1]!Table1[[Employee_ID]:[Employee_Name]],2,0)</f>
        <v>#REF!</v>
      </c>
      <c r="J241" s="2" t="b">
        <f>Table1[[#This Row],[Login_Time]]&lt;Table1[[#This Row],[Logout_Time]]</f>
        <v>1</v>
      </c>
    </row>
    <row r="242" spans="1:10" ht="15" customHeight="1">
      <c r="A242" s="2" t="s">
        <v>338</v>
      </c>
      <c r="B242" s="3">
        <v>45684</v>
      </c>
      <c r="C242" s="2" t="s">
        <v>331</v>
      </c>
      <c r="D242" s="2" t="s">
        <v>9</v>
      </c>
      <c r="E242" s="15" t="s">
        <v>13</v>
      </c>
      <c r="F242" s="15" t="s">
        <v>127</v>
      </c>
      <c r="G242" s="2" t="s">
        <v>11</v>
      </c>
      <c r="H242" t="str">
        <f>_xlfn.CONCAT(Table1[[#This Row],[Attendance_ID]],Table1[[#This Row],[Date]],Table1[[#This Row],[Employee_ID]])</f>
        <v>ATT0039045684EMP1024</v>
      </c>
      <c r="I242" s="12" t="e">
        <f>VLOOKUP(Table1[[#This Row],[Employee_ID]],[1]!Table1[[Employee_ID]:[Employee_Name]],2,0)</f>
        <v>#REF!</v>
      </c>
      <c r="J242" s="2" t="b">
        <f>Table1[[#This Row],[Login_Time]]&lt;Table1[[#This Row],[Logout_Time]]</f>
        <v>1</v>
      </c>
    </row>
    <row r="243" spans="1:10" ht="15" customHeight="1">
      <c r="A243" s="2" t="s">
        <v>339</v>
      </c>
      <c r="B243" s="3">
        <v>45669</v>
      </c>
      <c r="C243" s="2" t="s">
        <v>331</v>
      </c>
      <c r="D243" s="2" t="s">
        <v>42</v>
      </c>
      <c r="E243" s="15" t="s">
        <v>31</v>
      </c>
      <c r="F243" s="15" t="s">
        <v>101</v>
      </c>
      <c r="G243" s="2" t="s">
        <v>21</v>
      </c>
      <c r="H243" t="str">
        <f>_xlfn.CONCAT(Table1[[#This Row],[Attendance_ID]],Table1[[#This Row],[Date]],Table1[[#This Row],[Employee_ID]])</f>
        <v>ATT0044045669EMP1024</v>
      </c>
      <c r="I243" s="12" t="e">
        <f>VLOOKUP(Table1[[#This Row],[Employee_ID]],[1]!Table1[[Employee_ID]:[Employee_Name]],2,0)</f>
        <v>#REF!</v>
      </c>
      <c r="J243" s="2" t="b">
        <f>Table1[[#This Row],[Login_Time]]&lt;Table1[[#This Row],[Logout_Time]]</f>
        <v>1</v>
      </c>
    </row>
    <row r="244" spans="1:10" ht="15" hidden="1" customHeight="1">
      <c r="A244" s="2" t="s">
        <v>340</v>
      </c>
      <c r="B244" s="3">
        <v>45691</v>
      </c>
      <c r="C244" s="2" t="s">
        <v>331</v>
      </c>
      <c r="D244" s="2" t="s">
        <v>26</v>
      </c>
      <c r="E244" s="15"/>
      <c r="F244" s="15"/>
      <c r="G244" s="2" t="s">
        <v>11</v>
      </c>
      <c r="H244" t="str">
        <f>_xlfn.CONCAT(Table1[[#This Row],[Attendance_ID]],Table1[[#This Row],[Date]],Table1[[#This Row],[Employee_ID]])</f>
        <v>ATT0049045691EMP1024</v>
      </c>
      <c r="I244" s="12" t="e">
        <f>VLOOKUP(Table1[[#This Row],[Employee_ID]],[1]!Table1[[Employee_ID]:[Employee_Name]],2,0)</f>
        <v>#REF!</v>
      </c>
      <c r="J244" s="2" t="b">
        <f>Table1[[#This Row],[Login_Time]]&lt;Table1[[#This Row],[Logout_Time]]</f>
        <v>0</v>
      </c>
    </row>
    <row r="245" spans="1:10" ht="15" customHeight="1">
      <c r="A245" s="2" t="s">
        <v>341</v>
      </c>
      <c r="B245" s="3">
        <v>45717</v>
      </c>
      <c r="C245" s="2" t="s">
        <v>342</v>
      </c>
      <c r="D245" s="2" t="s">
        <v>9</v>
      </c>
      <c r="E245" s="15" t="s">
        <v>16</v>
      </c>
      <c r="F245" s="15" t="s">
        <v>75</v>
      </c>
      <c r="G245" s="2" t="s">
        <v>11</v>
      </c>
      <c r="H245" t="str">
        <f>_xlfn.CONCAT(Table1[[#This Row],[Attendance_ID]],Table1[[#This Row],[Date]],Table1[[#This Row],[Employee_ID]])</f>
        <v>ATT0004145717EMP1025</v>
      </c>
      <c r="I245" s="12" t="e">
        <f>VLOOKUP(Table1[[#This Row],[Employee_ID]],[1]!Table1[[Employee_ID]:[Employee_Name]],2,0)</f>
        <v>#REF!</v>
      </c>
      <c r="J245" s="2" t="b">
        <f>Table1[[#This Row],[Login_Time]]&lt;Table1[[#This Row],[Logout_Time]]</f>
        <v>1</v>
      </c>
    </row>
    <row r="246" spans="1:10" ht="15" hidden="1" customHeight="1">
      <c r="A246" s="2" t="s">
        <v>343</v>
      </c>
      <c r="B246" s="3">
        <v>45702</v>
      </c>
      <c r="C246" s="2" t="s">
        <v>342</v>
      </c>
      <c r="D246" s="2" t="s">
        <v>70</v>
      </c>
      <c r="E246" s="15"/>
      <c r="F246" s="15"/>
      <c r="G246" s="2" t="s">
        <v>11</v>
      </c>
      <c r="H246" t="str">
        <f>_xlfn.CONCAT(Table1[[#This Row],[Attendance_ID]],Table1[[#This Row],[Date]],Table1[[#This Row],[Employee_ID]])</f>
        <v>ATT0009145702EMP1025</v>
      </c>
      <c r="I246" s="12" t="e">
        <f>VLOOKUP(Table1[[#This Row],[Employee_ID]],[1]!Table1[[Employee_ID]:[Employee_Name]],2,0)</f>
        <v>#REF!</v>
      </c>
      <c r="J246" s="2" t="b">
        <f>Table1[[#This Row],[Login_Time]]&lt;Table1[[#This Row],[Logout_Time]]</f>
        <v>0</v>
      </c>
    </row>
    <row r="247" spans="1:10" ht="15" customHeight="1">
      <c r="A247" s="2" t="s">
        <v>344</v>
      </c>
      <c r="B247" s="3">
        <v>45695</v>
      </c>
      <c r="C247" s="2" t="s">
        <v>342</v>
      </c>
      <c r="D247" s="2" t="s">
        <v>9</v>
      </c>
      <c r="E247" s="15" t="s">
        <v>226</v>
      </c>
      <c r="F247" s="15" t="s">
        <v>127</v>
      </c>
      <c r="G247" s="2" t="s">
        <v>11</v>
      </c>
      <c r="H247" t="str">
        <f>_xlfn.CONCAT(Table1[[#This Row],[Attendance_ID]],Table1[[#This Row],[Date]],Table1[[#This Row],[Employee_ID]])</f>
        <v>ATT0014145695EMP1025</v>
      </c>
      <c r="I247" s="12" t="e">
        <f>VLOOKUP(Table1[[#This Row],[Employee_ID]],[1]!Table1[[Employee_ID]:[Employee_Name]],2,0)</f>
        <v>#REF!</v>
      </c>
      <c r="J247" s="2" t="b">
        <f>Table1[[#This Row],[Login_Time]]&lt;Table1[[#This Row],[Logout_Time]]</f>
        <v>1</v>
      </c>
    </row>
    <row r="248" spans="1:10" ht="15" customHeight="1">
      <c r="A248" s="2" t="s">
        <v>345</v>
      </c>
      <c r="B248" s="3">
        <v>45737</v>
      </c>
      <c r="C248" s="2" t="s">
        <v>342</v>
      </c>
      <c r="D248" s="2" t="s">
        <v>9</v>
      </c>
      <c r="E248" s="15" t="s">
        <v>136</v>
      </c>
      <c r="F248" s="15" t="s">
        <v>66</v>
      </c>
      <c r="G248" s="2" t="s">
        <v>21</v>
      </c>
      <c r="H248" t="str">
        <f>_xlfn.CONCAT(Table1[[#This Row],[Attendance_ID]],Table1[[#This Row],[Date]],Table1[[#This Row],[Employee_ID]])</f>
        <v>ATT0019145737EMP1025</v>
      </c>
      <c r="I248" s="12" t="e">
        <f>VLOOKUP(Table1[[#This Row],[Employee_ID]],[1]!Table1[[Employee_ID]:[Employee_Name]],2,0)</f>
        <v>#REF!</v>
      </c>
      <c r="J248" s="2" t="b">
        <f>Table1[[#This Row],[Login_Time]]&lt;Table1[[#This Row],[Logout_Time]]</f>
        <v>1</v>
      </c>
    </row>
    <row r="249" spans="1:10" ht="15" hidden="1" customHeight="1">
      <c r="A249" s="2" t="s">
        <v>346</v>
      </c>
      <c r="B249" s="3">
        <v>45730</v>
      </c>
      <c r="C249" s="2" t="s">
        <v>342</v>
      </c>
      <c r="D249" s="2" t="s">
        <v>70</v>
      </c>
      <c r="E249" s="15"/>
      <c r="F249" s="15"/>
      <c r="G249" s="2" t="s">
        <v>11</v>
      </c>
      <c r="H249" t="str">
        <f>_xlfn.CONCAT(Table1[[#This Row],[Attendance_ID]],Table1[[#This Row],[Date]],Table1[[#This Row],[Employee_ID]])</f>
        <v>ATT0024145730EMP1025</v>
      </c>
      <c r="I249" s="12" t="e">
        <f>VLOOKUP(Table1[[#This Row],[Employee_ID]],[1]!Table1[[Employee_ID]:[Employee_Name]],2,0)</f>
        <v>#REF!</v>
      </c>
      <c r="J249" s="2" t="b">
        <f>Table1[[#This Row],[Login_Time]]&lt;Table1[[#This Row],[Logout_Time]]</f>
        <v>0</v>
      </c>
    </row>
    <row r="250" spans="1:10" ht="15" customHeight="1">
      <c r="A250" s="2" t="s">
        <v>347</v>
      </c>
      <c r="B250" s="3">
        <v>45671</v>
      </c>
      <c r="C250" s="2" t="s">
        <v>342</v>
      </c>
      <c r="D250" s="2" t="s">
        <v>42</v>
      </c>
      <c r="E250" s="15" t="s">
        <v>47</v>
      </c>
      <c r="F250" s="15" t="s">
        <v>90</v>
      </c>
      <c r="G250" s="2" t="s">
        <v>21</v>
      </c>
      <c r="H250" t="str">
        <f>_xlfn.CONCAT(Table1[[#This Row],[Attendance_ID]],Table1[[#This Row],[Date]],Table1[[#This Row],[Employee_ID]])</f>
        <v>ATT0029145671EMP1025</v>
      </c>
      <c r="I250" s="12" t="e">
        <f>VLOOKUP(Table1[[#This Row],[Employee_ID]],[1]!Table1[[Employee_ID]:[Employee_Name]],2,0)</f>
        <v>#REF!</v>
      </c>
      <c r="J250" s="2" t="b">
        <f>Table1[[#This Row],[Login_Time]]&lt;Table1[[#This Row],[Logout_Time]]</f>
        <v>1</v>
      </c>
    </row>
    <row r="251" spans="1:10" ht="15" customHeight="1">
      <c r="A251" s="2" t="s">
        <v>348</v>
      </c>
      <c r="B251" s="3">
        <v>45698</v>
      </c>
      <c r="C251" s="2" t="s">
        <v>342</v>
      </c>
      <c r="D251" s="2" t="s">
        <v>9</v>
      </c>
      <c r="E251" s="15" t="s">
        <v>53</v>
      </c>
      <c r="F251" s="15" t="s">
        <v>32</v>
      </c>
      <c r="G251" s="2" t="s">
        <v>11</v>
      </c>
      <c r="H251" t="str">
        <f>_xlfn.CONCAT(Table1[[#This Row],[Attendance_ID]],Table1[[#This Row],[Date]],Table1[[#This Row],[Employee_ID]])</f>
        <v>ATT0034145698EMP1025</v>
      </c>
      <c r="I251" s="12" t="e">
        <f>VLOOKUP(Table1[[#This Row],[Employee_ID]],[1]!Table1[[Employee_ID]:[Employee_Name]],2,0)</f>
        <v>#REF!</v>
      </c>
      <c r="J251" s="2" t="b">
        <f>Table1[[#This Row],[Login_Time]]&lt;Table1[[#This Row],[Logout_Time]]</f>
        <v>1</v>
      </c>
    </row>
    <row r="252" spans="1:10" ht="15" customHeight="1">
      <c r="A252" s="2" t="s">
        <v>349</v>
      </c>
      <c r="B252" s="3">
        <v>45730</v>
      </c>
      <c r="C252" s="2" t="s">
        <v>342</v>
      </c>
      <c r="D252" s="2" t="s">
        <v>9</v>
      </c>
      <c r="E252" s="15" t="s">
        <v>28</v>
      </c>
      <c r="F252" s="15" t="s">
        <v>55</v>
      </c>
      <c r="G252" s="2" t="s">
        <v>21</v>
      </c>
      <c r="H252" t="str">
        <f>_xlfn.CONCAT(Table1[[#This Row],[Attendance_ID]],Table1[[#This Row],[Date]],Table1[[#This Row],[Employee_ID]])</f>
        <v>ATT0039145730EMP1025</v>
      </c>
      <c r="I252" s="12" t="e">
        <f>VLOOKUP(Table1[[#This Row],[Employee_ID]],[1]!Table1[[Employee_ID]:[Employee_Name]],2,0)</f>
        <v>#REF!</v>
      </c>
      <c r="J252" s="2" t="b">
        <f>Table1[[#This Row],[Login_Time]]&lt;Table1[[#This Row],[Logout_Time]]</f>
        <v>1</v>
      </c>
    </row>
    <row r="253" spans="1:10" ht="15" customHeight="1">
      <c r="A253" s="2" t="s">
        <v>350</v>
      </c>
      <c r="B253" s="3">
        <v>45672</v>
      </c>
      <c r="C253" s="2" t="s">
        <v>342</v>
      </c>
      <c r="D253" s="2" t="s">
        <v>42</v>
      </c>
      <c r="E253" s="15" t="s">
        <v>149</v>
      </c>
      <c r="F253" s="15" t="s">
        <v>72</v>
      </c>
      <c r="G253" s="2" t="s">
        <v>21</v>
      </c>
      <c r="H253" t="str">
        <f>_xlfn.CONCAT(Table1[[#This Row],[Attendance_ID]],Table1[[#This Row],[Date]],Table1[[#This Row],[Employee_ID]])</f>
        <v>ATT0044145672EMP1025</v>
      </c>
      <c r="I253" s="12" t="e">
        <f>VLOOKUP(Table1[[#This Row],[Employee_ID]],[1]!Table1[[Employee_ID]:[Employee_Name]],2,0)</f>
        <v>#REF!</v>
      </c>
      <c r="J253" s="2" t="b">
        <f>Table1[[#This Row],[Login_Time]]&lt;Table1[[#This Row],[Logout_Time]]</f>
        <v>1</v>
      </c>
    </row>
    <row r="254" spans="1:10" ht="15" customHeight="1">
      <c r="A254" s="2" t="s">
        <v>351</v>
      </c>
      <c r="B254" s="3">
        <v>45678</v>
      </c>
      <c r="C254" s="2" t="s">
        <v>342</v>
      </c>
      <c r="D254" s="2" t="s">
        <v>42</v>
      </c>
      <c r="E254" s="15" t="s">
        <v>34</v>
      </c>
      <c r="F254" s="15" t="s">
        <v>165</v>
      </c>
      <c r="G254" s="2" t="s">
        <v>21</v>
      </c>
      <c r="H254" t="str">
        <f>_xlfn.CONCAT(Table1[[#This Row],[Attendance_ID]],Table1[[#This Row],[Date]],Table1[[#This Row],[Employee_ID]])</f>
        <v>ATT0049145678EMP1025</v>
      </c>
      <c r="I254" s="12" t="e">
        <f>VLOOKUP(Table1[[#This Row],[Employee_ID]],[1]!Table1[[Employee_ID]:[Employee_Name]],2,0)</f>
        <v>#REF!</v>
      </c>
      <c r="J254" s="2" t="b">
        <f>Table1[[#This Row],[Login_Time]]&lt;Table1[[#This Row],[Logout_Time]]</f>
        <v>1</v>
      </c>
    </row>
    <row r="255" spans="1:10" ht="15" customHeight="1">
      <c r="A255" s="2" t="s">
        <v>352</v>
      </c>
      <c r="B255" s="3">
        <v>45666</v>
      </c>
      <c r="C255" s="2" t="s">
        <v>353</v>
      </c>
      <c r="D255" s="2" t="s">
        <v>9</v>
      </c>
      <c r="E255" s="15" t="s">
        <v>31</v>
      </c>
      <c r="F255" s="15" t="s">
        <v>48</v>
      </c>
      <c r="G255" s="2" t="s">
        <v>21</v>
      </c>
      <c r="H255" t="str">
        <f>_xlfn.CONCAT(Table1[[#This Row],[Attendance_ID]],Table1[[#This Row],[Date]],Table1[[#This Row],[Employee_ID]])</f>
        <v>ATT0004245666EMP1026</v>
      </c>
      <c r="I255" s="12" t="e">
        <f>VLOOKUP(Table1[[#This Row],[Employee_ID]],[1]!Table1[[Employee_ID]:[Employee_Name]],2,0)</f>
        <v>#REF!</v>
      </c>
      <c r="J255" s="2" t="b">
        <f>Table1[[#This Row],[Login_Time]]&lt;Table1[[#This Row],[Logout_Time]]</f>
        <v>1</v>
      </c>
    </row>
    <row r="256" spans="1:10" ht="15" customHeight="1">
      <c r="A256" s="2" t="s">
        <v>354</v>
      </c>
      <c r="B256" s="3">
        <v>45688</v>
      </c>
      <c r="C256" s="2" t="s">
        <v>353</v>
      </c>
      <c r="D256" s="2" t="s">
        <v>42</v>
      </c>
      <c r="E256" s="15" t="s">
        <v>23</v>
      </c>
      <c r="F256" s="15" t="s">
        <v>154</v>
      </c>
      <c r="G256" s="2" t="s">
        <v>11</v>
      </c>
      <c r="H256" t="str">
        <f>_xlfn.CONCAT(Table1[[#This Row],[Attendance_ID]],Table1[[#This Row],[Date]],Table1[[#This Row],[Employee_ID]])</f>
        <v>ATT0009245688EMP1026</v>
      </c>
      <c r="I256" s="12" t="e">
        <f>VLOOKUP(Table1[[#This Row],[Employee_ID]],[1]!Table1[[Employee_ID]:[Employee_Name]],2,0)</f>
        <v>#REF!</v>
      </c>
      <c r="J256" s="2" t="b">
        <f>Table1[[#This Row],[Login_Time]]&lt;Table1[[#This Row],[Logout_Time]]</f>
        <v>1</v>
      </c>
    </row>
    <row r="257" spans="1:10" ht="15" customHeight="1">
      <c r="A257" s="2" t="s">
        <v>355</v>
      </c>
      <c r="B257" s="3">
        <v>45701</v>
      </c>
      <c r="C257" s="2" t="s">
        <v>353</v>
      </c>
      <c r="D257" s="2" t="s">
        <v>42</v>
      </c>
      <c r="E257" s="15" t="s">
        <v>105</v>
      </c>
      <c r="F257" s="15" t="s">
        <v>32</v>
      </c>
      <c r="G257" s="2" t="s">
        <v>21</v>
      </c>
      <c r="H257" t="str">
        <f>_xlfn.CONCAT(Table1[[#This Row],[Attendance_ID]],Table1[[#This Row],[Date]],Table1[[#This Row],[Employee_ID]])</f>
        <v>ATT0014245701EMP1026</v>
      </c>
      <c r="I257" s="12" t="e">
        <f>VLOOKUP(Table1[[#This Row],[Employee_ID]],[1]!Table1[[Employee_ID]:[Employee_Name]],2,0)</f>
        <v>#REF!</v>
      </c>
      <c r="J257" s="2" t="b">
        <f>Table1[[#This Row],[Login_Time]]&lt;Table1[[#This Row],[Logout_Time]]</f>
        <v>1</v>
      </c>
    </row>
    <row r="258" spans="1:10" ht="15" customHeight="1">
      <c r="A258" s="2" t="s">
        <v>356</v>
      </c>
      <c r="B258" s="3">
        <v>45670</v>
      </c>
      <c r="C258" s="2" t="s">
        <v>353</v>
      </c>
      <c r="D258" s="2" t="s">
        <v>9</v>
      </c>
      <c r="E258" s="15" t="s">
        <v>108</v>
      </c>
      <c r="F258" s="15" t="s">
        <v>122</v>
      </c>
      <c r="G258" s="2" t="s">
        <v>11</v>
      </c>
      <c r="H258" t="str">
        <f>_xlfn.CONCAT(Table1[[#This Row],[Attendance_ID]],Table1[[#This Row],[Date]],Table1[[#This Row],[Employee_ID]])</f>
        <v>ATT0019245670EMP1026</v>
      </c>
      <c r="I258" s="12" t="e">
        <f>VLOOKUP(Table1[[#This Row],[Employee_ID]],[1]!Table1[[Employee_ID]:[Employee_Name]],2,0)</f>
        <v>#REF!</v>
      </c>
      <c r="J258" s="2" t="b">
        <f>Table1[[#This Row],[Login_Time]]&lt;Table1[[#This Row],[Logout_Time]]</f>
        <v>1</v>
      </c>
    </row>
    <row r="259" spans="1:10" ht="15" customHeight="1">
      <c r="A259" s="2" t="s">
        <v>357</v>
      </c>
      <c r="B259" s="3">
        <v>45733</v>
      </c>
      <c r="C259" s="2" t="s">
        <v>353</v>
      </c>
      <c r="D259" s="2" t="s">
        <v>9</v>
      </c>
      <c r="E259" s="15" t="s">
        <v>108</v>
      </c>
      <c r="F259" s="15" t="s">
        <v>96</v>
      </c>
      <c r="G259" s="2" t="s">
        <v>11</v>
      </c>
      <c r="H259" t="str">
        <f>_xlfn.CONCAT(Table1[[#This Row],[Attendance_ID]],Table1[[#This Row],[Date]],Table1[[#This Row],[Employee_ID]])</f>
        <v>ATT0024245733EMP1026</v>
      </c>
      <c r="I259" s="12" t="e">
        <f>VLOOKUP(Table1[[#This Row],[Employee_ID]],[1]!Table1[[Employee_ID]:[Employee_Name]],2,0)</f>
        <v>#REF!</v>
      </c>
      <c r="J259" s="2" t="b">
        <f>Table1[[#This Row],[Login_Time]]&lt;Table1[[#This Row],[Logout_Time]]</f>
        <v>1</v>
      </c>
    </row>
    <row r="260" spans="1:10" ht="15" customHeight="1">
      <c r="A260" s="2" t="s">
        <v>358</v>
      </c>
      <c r="B260" s="3">
        <v>45663</v>
      </c>
      <c r="C260" s="2" t="s">
        <v>353</v>
      </c>
      <c r="D260" s="2" t="s">
        <v>9</v>
      </c>
      <c r="E260" s="15" t="s">
        <v>53</v>
      </c>
      <c r="F260" s="15" t="s">
        <v>48</v>
      </c>
      <c r="G260" s="2" t="s">
        <v>11</v>
      </c>
      <c r="H260" t="str">
        <f>_xlfn.CONCAT(Table1[[#This Row],[Attendance_ID]],Table1[[#This Row],[Date]],Table1[[#This Row],[Employee_ID]])</f>
        <v>ATT0029245663EMP1026</v>
      </c>
      <c r="I260" s="12" t="e">
        <f>VLOOKUP(Table1[[#This Row],[Employee_ID]],[1]!Table1[[Employee_ID]:[Employee_Name]],2,0)</f>
        <v>#REF!</v>
      </c>
      <c r="J260" s="2" t="b">
        <f>Table1[[#This Row],[Login_Time]]&lt;Table1[[#This Row],[Logout_Time]]</f>
        <v>1</v>
      </c>
    </row>
    <row r="261" spans="1:10" ht="15" customHeight="1">
      <c r="A261" s="2" t="s">
        <v>359</v>
      </c>
      <c r="B261" s="3">
        <v>45741</v>
      </c>
      <c r="C261" s="2" t="s">
        <v>353</v>
      </c>
      <c r="D261" s="2" t="s">
        <v>42</v>
      </c>
      <c r="E261" s="15" t="s">
        <v>105</v>
      </c>
      <c r="F261" s="15" t="s">
        <v>44</v>
      </c>
      <c r="G261" s="2" t="s">
        <v>21</v>
      </c>
      <c r="H261" t="str">
        <f>_xlfn.CONCAT(Table1[[#This Row],[Attendance_ID]],Table1[[#This Row],[Date]],Table1[[#This Row],[Employee_ID]])</f>
        <v>ATT0034245741EMP1026</v>
      </c>
      <c r="I261" s="12" t="e">
        <f>VLOOKUP(Table1[[#This Row],[Employee_ID]],[1]!Table1[[Employee_ID]:[Employee_Name]],2,0)</f>
        <v>#REF!</v>
      </c>
      <c r="J261" s="2" t="b">
        <f>Table1[[#This Row],[Login_Time]]&lt;Table1[[#This Row],[Logout_Time]]</f>
        <v>1</v>
      </c>
    </row>
    <row r="262" spans="1:10" ht="15" customHeight="1">
      <c r="A262" s="2" t="s">
        <v>360</v>
      </c>
      <c r="B262" s="3">
        <v>45706</v>
      </c>
      <c r="C262" s="2" t="s">
        <v>353</v>
      </c>
      <c r="D262" s="2" t="s">
        <v>9</v>
      </c>
      <c r="E262" s="15" t="s">
        <v>100</v>
      </c>
      <c r="F262" s="15" t="s">
        <v>96</v>
      </c>
      <c r="G262" s="2" t="s">
        <v>11</v>
      </c>
      <c r="H262" t="str">
        <f>_xlfn.CONCAT(Table1[[#This Row],[Attendance_ID]],Table1[[#This Row],[Date]],Table1[[#This Row],[Employee_ID]])</f>
        <v>ATT0039245706EMP1026</v>
      </c>
      <c r="I262" s="12" t="e">
        <f>VLOOKUP(Table1[[#This Row],[Employee_ID]],[1]!Table1[[Employee_ID]:[Employee_Name]],2,0)</f>
        <v>#REF!</v>
      </c>
      <c r="J262" s="2" t="b">
        <f>Table1[[#This Row],[Login_Time]]&lt;Table1[[#This Row],[Logout_Time]]</f>
        <v>1</v>
      </c>
    </row>
    <row r="263" spans="1:10" ht="15" customHeight="1">
      <c r="A263" s="2" t="s">
        <v>361</v>
      </c>
      <c r="B263" s="3">
        <v>45737</v>
      </c>
      <c r="C263" s="2" t="s">
        <v>353</v>
      </c>
      <c r="D263" s="2" t="s">
        <v>9</v>
      </c>
      <c r="E263" s="15" t="s">
        <v>28</v>
      </c>
      <c r="F263" s="15" t="s">
        <v>127</v>
      </c>
      <c r="G263" s="2" t="s">
        <v>21</v>
      </c>
      <c r="H263" t="str">
        <f>_xlfn.CONCAT(Table1[[#This Row],[Attendance_ID]],Table1[[#This Row],[Date]],Table1[[#This Row],[Employee_ID]])</f>
        <v>ATT0044245737EMP1026</v>
      </c>
      <c r="I263" s="12" t="e">
        <f>VLOOKUP(Table1[[#This Row],[Employee_ID]],[1]!Table1[[Employee_ID]:[Employee_Name]],2,0)</f>
        <v>#REF!</v>
      </c>
      <c r="J263" s="2" t="b">
        <f>Table1[[#This Row],[Login_Time]]&lt;Table1[[#This Row],[Logout_Time]]</f>
        <v>1</v>
      </c>
    </row>
    <row r="264" spans="1:10" ht="15" customHeight="1">
      <c r="A264" s="2" t="s">
        <v>362</v>
      </c>
      <c r="B264" s="3">
        <v>45697</v>
      </c>
      <c r="C264" s="2" t="s">
        <v>353</v>
      </c>
      <c r="D264" s="2" t="s">
        <v>42</v>
      </c>
      <c r="E264" s="15" t="s">
        <v>19</v>
      </c>
      <c r="F264" s="15" t="s">
        <v>292</v>
      </c>
      <c r="G264" s="2" t="s">
        <v>21</v>
      </c>
      <c r="H264" t="str">
        <f>_xlfn.CONCAT(Table1[[#This Row],[Attendance_ID]],Table1[[#This Row],[Date]],Table1[[#This Row],[Employee_ID]])</f>
        <v>ATT0049245697EMP1026</v>
      </c>
      <c r="I264" s="12" t="e">
        <f>VLOOKUP(Table1[[#This Row],[Employee_ID]],[1]!Table1[[Employee_ID]:[Employee_Name]],2,0)</f>
        <v>#REF!</v>
      </c>
      <c r="J264" s="2" t="b">
        <f>Table1[[#This Row],[Login_Time]]&lt;Table1[[#This Row],[Logout_Time]]</f>
        <v>1</v>
      </c>
    </row>
    <row r="265" spans="1:10" ht="15" customHeight="1">
      <c r="A265" s="2" t="s">
        <v>363</v>
      </c>
      <c r="B265" s="3">
        <v>45688</v>
      </c>
      <c r="C265" s="2" t="s">
        <v>364</v>
      </c>
      <c r="D265" s="2" t="s">
        <v>9</v>
      </c>
      <c r="E265" s="15" t="s">
        <v>53</v>
      </c>
      <c r="F265" s="15" t="s">
        <v>44</v>
      </c>
      <c r="G265" s="2" t="s">
        <v>11</v>
      </c>
      <c r="H265" t="str">
        <f>_xlfn.CONCAT(Table1[[#This Row],[Attendance_ID]],Table1[[#This Row],[Date]],Table1[[#This Row],[Employee_ID]])</f>
        <v>ATT0004345688EMP1027</v>
      </c>
      <c r="I265" s="12" t="e">
        <f>VLOOKUP(Table1[[#This Row],[Employee_ID]],[1]!Table1[[Employee_ID]:[Employee_Name]],2,0)</f>
        <v>#REF!</v>
      </c>
      <c r="J265" s="2" t="b">
        <f>Table1[[#This Row],[Login_Time]]&lt;Table1[[#This Row],[Logout_Time]]</f>
        <v>1</v>
      </c>
    </row>
    <row r="266" spans="1:10" ht="15" hidden="1" customHeight="1">
      <c r="A266" s="2" t="s">
        <v>365</v>
      </c>
      <c r="B266" s="3">
        <v>45710</v>
      </c>
      <c r="C266" s="2" t="s">
        <v>364</v>
      </c>
      <c r="D266" s="2" t="s">
        <v>70</v>
      </c>
      <c r="E266" s="15"/>
      <c r="F266" s="15"/>
      <c r="G266" s="2" t="s">
        <v>11</v>
      </c>
      <c r="H266" t="str">
        <f>_xlfn.CONCAT(Table1[[#This Row],[Attendance_ID]],Table1[[#This Row],[Date]],Table1[[#This Row],[Employee_ID]])</f>
        <v>ATT0009345710EMP1027</v>
      </c>
      <c r="I266" s="12" t="e">
        <f>VLOOKUP(Table1[[#This Row],[Employee_ID]],[1]!Table1[[Employee_ID]:[Employee_Name]],2,0)</f>
        <v>#REF!</v>
      </c>
      <c r="J266" s="2" t="b">
        <f>Table1[[#This Row],[Login_Time]]&lt;Table1[[#This Row],[Logout_Time]]</f>
        <v>0</v>
      </c>
    </row>
    <row r="267" spans="1:10" ht="15" customHeight="1">
      <c r="A267" s="2" t="s">
        <v>366</v>
      </c>
      <c r="B267" s="3">
        <v>45680</v>
      </c>
      <c r="C267" s="2" t="s">
        <v>364</v>
      </c>
      <c r="D267" s="2" t="s">
        <v>9</v>
      </c>
      <c r="E267" s="15" t="s">
        <v>59</v>
      </c>
      <c r="F267" s="15" t="s">
        <v>24</v>
      </c>
      <c r="G267" s="2" t="s">
        <v>21</v>
      </c>
      <c r="H267" t="str">
        <f>_xlfn.CONCAT(Table1[[#This Row],[Attendance_ID]],Table1[[#This Row],[Date]],Table1[[#This Row],[Employee_ID]])</f>
        <v>ATT0014345680EMP1027</v>
      </c>
      <c r="I267" s="12" t="e">
        <f>VLOOKUP(Table1[[#This Row],[Employee_ID]],[1]!Table1[[Employee_ID]:[Employee_Name]],2,0)</f>
        <v>#REF!</v>
      </c>
      <c r="J267" s="2" t="b">
        <f>Table1[[#This Row],[Login_Time]]&lt;Table1[[#This Row],[Logout_Time]]</f>
        <v>1</v>
      </c>
    </row>
    <row r="268" spans="1:10" ht="15" customHeight="1">
      <c r="A268" s="2" t="s">
        <v>367</v>
      </c>
      <c r="B268" s="3">
        <v>45701</v>
      </c>
      <c r="C268" s="2" t="s">
        <v>364</v>
      </c>
      <c r="D268" s="2" t="s">
        <v>9</v>
      </c>
      <c r="E268" s="15" t="s">
        <v>16</v>
      </c>
      <c r="F268" s="15" t="s">
        <v>72</v>
      </c>
      <c r="G268" s="2" t="s">
        <v>11</v>
      </c>
      <c r="H268" t="str">
        <f>_xlfn.CONCAT(Table1[[#This Row],[Attendance_ID]],Table1[[#This Row],[Date]],Table1[[#This Row],[Employee_ID]])</f>
        <v>ATT0019345701EMP1027</v>
      </c>
      <c r="I268" s="12" t="e">
        <f>VLOOKUP(Table1[[#This Row],[Employee_ID]],[1]!Table1[[Employee_ID]:[Employee_Name]],2,0)</f>
        <v>#REF!</v>
      </c>
      <c r="J268" s="2" t="b">
        <f>Table1[[#This Row],[Login_Time]]&lt;Table1[[#This Row],[Logout_Time]]</f>
        <v>1</v>
      </c>
    </row>
    <row r="269" spans="1:10" ht="15" customHeight="1">
      <c r="A269" s="2" t="s">
        <v>368</v>
      </c>
      <c r="B269" s="3">
        <v>45729</v>
      </c>
      <c r="C269" s="2" t="s">
        <v>364</v>
      </c>
      <c r="D269" s="2" t="s">
        <v>9</v>
      </c>
      <c r="E269" s="15" t="s">
        <v>80</v>
      </c>
      <c r="F269" s="15" t="s">
        <v>20</v>
      </c>
      <c r="G269" s="2" t="s">
        <v>21</v>
      </c>
      <c r="H269" t="str">
        <f>_xlfn.CONCAT(Table1[[#This Row],[Attendance_ID]],Table1[[#This Row],[Date]],Table1[[#This Row],[Employee_ID]])</f>
        <v>ATT0024345729EMP1027</v>
      </c>
      <c r="I269" s="12" t="e">
        <f>VLOOKUP(Table1[[#This Row],[Employee_ID]],[1]!Table1[[Employee_ID]:[Employee_Name]],2,0)</f>
        <v>#REF!</v>
      </c>
      <c r="J269" s="2" t="b">
        <f>Table1[[#This Row],[Login_Time]]&lt;Table1[[#This Row],[Logout_Time]]</f>
        <v>1</v>
      </c>
    </row>
    <row r="270" spans="1:10" ht="15" customHeight="1">
      <c r="A270" s="2" t="s">
        <v>369</v>
      </c>
      <c r="B270" s="3">
        <v>45724</v>
      </c>
      <c r="C270" s="2" t="s">
        <v>364</v>
      </c>
      <c r="D270" s="2" t="s">
        <v>9</v>
      </c>
      <c r="E270" s="15" t="s">
        <v>47</v>
      </c>
      <c r="F270" s="15" t="s">
        <v>66</v>
      </c>
      <c r="G270" s="2" t="s">
        <v>21</v>
      </c>
      <c r="H270" t="str">
        <f>_xlfn.CONCAT(Table1[[#This Row],[Attendance_ID]],Table1[[#This Row],[Date]],Table1[[#This Row],[Employee_ID]])</f>
        <v>ATT0029345724EMP1027</v>
      </c>
      <c r="I270" s="12" t="e">
        <f>VLOOKUP(Table1[[#This Row],[Employee_ID]],[1]!Table1[[Employee_ID]:[Employee_Name]],2,0)</f>
        <v>#REF!</v>
      </c>
      <c r="J270" s="2" t="b">
        <f>Table1[[#This Row],[Login_Time]]&lt;Table1[[#This Row],[Logout_Time]]</f>
        <v>1</v>
      </c>
    </row>
    <row r="271" spans="1:10" ht="15" customHeight="1">
      <c r="A271" s="2" t="s">
        <v>370</v>
      </c>
      <c r="B271" s="3">
        <v>45711</v>
      </c>
      <c r="C271" s="2" t="s">
        <v>364</v>
      </c>
      <c r="D271" s="2" t="s">
        <v>9</v>
      </c>
      <c r="E271" s="15" t="s">
        <v>59</v>
      </c>
      <c r="F271" s="15" t="s">
        <v>10</v>
      </c>
      <c r="G271" s="2" t="s">
        <v>21</v>
      </c>
      <c r="H271" t="str">
        <f>_xlfn.CONCAT(Table1[[#This Row],[Attendance_ID]],Table1[[#This Row],[Date]],Table1[[#This Row],[Employee_ID]])</f>
        <v>ATT0034345711EMP1027</v>
      </c>
      <c r="I271" s="12" t="e">
        <f>VLOOKUP(Table1[[#This Row],[Employee_ID]],[1]!Table1[[Employee_ID]:[Employee_Name]],2,0)</f>
        <v>#REF!</v>
      </c>
      <c r="J271" s="2" t="b">
        <f>Table1[[#This Row],[Login_Time]]&lt;Table1[[#This Row],[Logout_Time]]</f>
        <v>1</v>
      </c>
    </row>
    <row r="272" spans="1:10" ht="15" hidden="1" customHeight="1">
      <c r="A272" s="2" t="s">
        <v>371</v>
      </c>
      <c r="B272" s="3">
        <v>45741</v>
      </c>
      <c r="C272" s="2" t="s">
        <v>364</v>
      </c>
      <c r="D272" s="2" t="s">
        <v>26</v>
      </c>
      <c r="E272" s="15"/>
      <c r="F272" s="15"/>
      <c r="G272" s="2" t="s">
        <v>11</v>
      </c>
      <c r="H272" t="str">
        <f>_xlfn.CONCAT(Table1[[#This Row],[Attendance_ID]],Table1[[#This Row],[Date]],Table1[[#This Row],[Employee_ID]])</f>
        <v>ATT0039345741EMP1027</v>
      </c>
      <c r="I272" s="12" t="e">
        <f>VLOOKUP(Table1[[#This Row],[Employee_ID]],[1]!Table1[[Employee_ID]:[Employee_Name]],2,0)</f>
        <v>#REF!</v>
      </c>
      <c r="J272" s="2" t="b">
        <f>Table1[[#This Row],[Login_Time]]&lt;Table1[[#This Row],[Logout_Time]]</f>
        <v>0</v>
      </c>
    </row>
    <row r="273" spans="1:10" ht="15" customHeight="1">
      <c r="A273" s="2" t="s">
        <v>372</v>
      </c>
      <c r="B273" s="3">
        <v>45715</v>
      </c>
      <c r="C273" s="2" t="s">
        <v>364</v>
      </c>
      <c r="D273" s="2" t="s">
        <v>42</v>
      </c>
      <c r="E273" s="15" t="s">
        <v>59</v>
      </c>
      <c r="F273" s="15" t="s">
        <v>32</v>
      </c>
      <c r="G273" s="2" t="s">
        <v>21</v>
      </c>
      <c r="H273" t="str">
        <f>_xlfn.CONCAT(Table1[[#This Row],[Attendance_ID]],Table1[[#This Row],[Date]],Table1[[#This Row],[Employee_ID]])</f>
        <v>ATT0044345715EMP1027</v>
      </c>
      <c r="I273" s="12" t="e">
        <f>VLOOKUP(Table1[[#This Row],[Employee_ID]],[1]!Table1[[Employee_ID]:[Employee_Name]],2,0)</f>
        <v>#REF!</v>
      </c>
      <c r="J273" s="2" t="b">
        <f>Table1[[#This Row],[Login_Time]]&lt;Table1[[#This Row],[Logout_Time]]</f>
        <v>1</v>
      </c>
    </row>
    <row r="274" spans="1:10" ht="15" customHeight="1">
      <c r="A274" s="2" t="s">
        <v>373</v>
      </c>
      <c r="B274" s="3">
        <v>45711</v>
      </c>
      <c r="C274" s="2" t="s">
        <v>364</v>
      </c>
      <c r="D274" s="2" t="s">
        <v>9</v>
      </c>
      <c r="E274" s="15" t="s">
        <v>23</v>
      </c>
      <c r="F274" s="15" t="s">
        <v>68</v>
      </c>
      <c r="G274" s="2" t="s">
        <v>11</v>
      </c>
      <c r="H274" t="str">
        <f>_xlfn.CONCAT(Table1[[#This Row],[Attendance_ID]],Table1[[#This Row],[Date]],Table1[[#This Row],[Employee_ID]])</f>
        <v>ATT0049345711EMP1027</v>
      </c>
      <c r="I274" s="12" t="e">
        <f>VLOOKUP(Table1[[#This Row],[Employee_ID]],[1]!Table1[[Employee_ID]:[Employee_Name]],2,0)</f>
        <v>#REF!</v>
      </c>
      <c r="J274" s="2" t="b">
        <f>Table1[[#This Row],[Login_Time]]&lt;Table1[[#This Row],[Logout_Time]]</f>
        <v>1</v>
      </c>
    </row>
    <row r="275" spans="1:10" ht="15" customHeight="1">
      <c r="A275" s="2" t="s">
        <v>374</v>
      </c>
      <c r="B275" s="3">
        <v>45722</v>
      </c>
      <c r="C275" s="2" t="s">
        <v>375</v>
      </c>
      <c r="D275" s="2" t="s">
        <v>42</v>
      </c>
      <c r="E275" s="15" t="s">
        <v>59</v>
      </c>
      <c r="F275" s="15" t="s">
        <v>35</v>
      </c>
      <c r="G275" s="2" t="s">
        <v>21</v>
      </c>
      <c r="H275" t="str">
        <f>_xlfn.CONCAT(Table1[[#This Row],[Attendance_ID]],Table1[[#This Row],[Date]],Table1[[#This Row],[Employee_ID]])</f>
        <v>ATT0004445722EMP1028</v>
      </c>
      <c r="I275" s="12" t="e">
        <f>VLOOKUP(Table1[[#This Row],[Employee_ID]],[1]!Table1[[Employee_ID]:[Employee_Name]],2,0)</f>
        <v>#REF!</v>
      </c>
      <c r="J275" s="2" t="b">
        <f>Table1[[#This Row],[Login_Time]]&lt;Table1[[#This Row],[Logout_Time]]</f>
        <v>1</v>
      </c>
    </row>
    <row r="276" spans="1:10" ht="15" customHeight="1">
      <c r="A276" s="2" t="s">
        <v>376</v>
      </c>
      <c r="B276" s="3">
        <v>45709</v>
      </c>
      <c r="C276" s="2" t="s">
        <v>375</v>
      </c>
      <c r="D276" s="2" t="s">
        <v>42</v>
      </c>
      <c r="E276" s="15" t="s">
        <v>16</v>
      </c>
      <c r="F276" s="15" t="s">
        <v>110</v>
      </c>
      <c r="G276" s="2" t="s">
        <v>11</v>
      </c>
      <c r="H276" t="str">
        <f>_xlfn.CONCAT(Table1[[#This Row],[Attendance_ID]],Table1[[#This Row],[Date]],Table1[[#This Row],[Employee_ID]])</f>
        <v>ATT0009445709EMP1028</v>
      </c>
      <c r="I276" s="12" t="e">
        <f>VLOOKUP(Table1[[#This Row],[Employee_ID]],[1]!Table1[[Employee_ID]:[Employee_Name]],2,0)</f>
        <v>#REF!</v>
      </c>
      <c r="J276" s="2" t="b">
        <f>Table1[[#This Row],[Login_Time]]&lt;Table1[[#This Row],[Logout_Time]]</f>
        <v>1</v>
      </c>
    </row>
    <row r="277" spans="1:10" ht="15" customHeight="1">
      <c r="A277" s="2" t="s">
        <v>377</v>
      </c>
      <c r="B277" s="3">
        <v>45733</v>
      </c>
      <c r="C277" s="2" t="s">
        <v>375</v>
      </c>
      <c r="D277" s="2" t="s">
        <v>42</v>
      </c>
      <c r="E277" s="15" t="s">
        <v>158</v>
      </c>
      <c r="F277" s="15" t="s">
        <v>24</v>
      </c>
      <c r="G277" s="2" t="s">
        <v>11</v>
      </c>
      <c r="H277" t="str">
        <f>_xlfn.CONCAT(Table1[[#This Row],[Attendance_ID]],Table1[[#This Row],[Date]],Table1[[#This Row],[Employee_ID]])</f>
        <v>ATT0014445733EMP1028</v>
      </c>
      <c r="I277" s="12" t="e">
        <f>VLOOKUP(Table1[[#This Row],[Employee_ID]],[1]!Table1[[Employee_ID]:[Employee_Name]],2,0)</f>
        <v>#REF!</v>
      </c>
      <c r="J277" s="2" t="b">
        <f>Table1[[#This Row],[Login_Time]]&lt;Table1[[#This Row],[Logout_Time]]</f>
        <v>1</v>
      </c>
    </row>
    <row r="278" spans="1:10" ht="15" customHeight="1">
      <c r="A278" s="2" t="s">
        <v>378</v>
      </c>
      <c r="B278" s="3">
        <v>45729</v>
      </c>
      <c r="C278" s="2" t="s">
        <v>375</v>
      </c>
      <c r="D278" s="2" t="s">
        <v>42</v>
      </c>
      <c r="E278" s="15" t="s">
        <v>28</v>
      </c>
      <c r="F278" s="15" t="s">
        <v>110</v>
      </c>
      <c r="G278" s="2" t="s">
        <v>21</v>
      </c>
      <c r="H278" t="str">
        <f>_xlfn.CONCAT(Table1[[#This Row],[Attendance_ID]],Table1[[#This Row],[Date]],Table1[[#This Row],[Employee_ID]])</f>
        <v>ATT0019445729EMP1028</v>
      </c>
      <c r="I278" s="12" t="e">
        <f>VLOOKUP(Table1[[#This Row],[Employee_ID]],[1]!Table1[[Employee_ID]:[Employee_Name]],2,0)</f>
        <v>#REF!</v>
      </c>
      <c r="J278" s="2" t="b">
        <f>Table1[[#This Row],[Login_Time]]&lt;Table1[[#This Row],[Logout_Time]]</f>
        <v>1</v>
      </c>
    </row>
    <row r="279" spans="1:10" ht="15" customHeight="1">
      <c r="A279" s="2" t="s">
        <v>379</v>
      </c>
      <c r="B279" s="3">
        <v>45706</v>
      </c>
      <c r="C279" s="2" t="s">
        <v>375</v>
      </c>
      <c r="D279" s="2" t="s">
        <v>9</v>
      </c>
      <c r="E279" s="15" t="s">
        <v>57</v>
      </c>
      <c r="F279" s="15" t="s">
        <v>127</v>
      </c>
      <c r="G279" s="2" t="s">
        <v>11</v>
      </c>
      <c r="H279" t="str">
        <f>_xlfn.CONCAT(Table1[[#This Row],[Attendance_ID]],Table1[[#This Row],[Date]],Table1[[#This Row],[Employee_ID]])</f>
        <v>ATT0024445706EMP1028</v>
      </c>
      <c r="I279" s="12" t="e">
        <f>VLOOKUP(Table1[[#This Row],[Employee_ID]],[1]!Table1[[Employee_ID]:[Employee_Name]],2,0)</f>
        <v>#REF!</v>
      </c>
      <c r="J279" s="2" t="b">
        <f>Table1[[#This Row],[Login_Time]]&lt;Table1[[#This Row],[Logout_Time]]</f>
        <v>1</v>
      </c>
    </row>
    <row r="280" spans="1:10" ht="15" customHeight="1">
      <c r="A280" s="2" t="s">
        <v>380</v>
      </c>
      <c r="B280" s="3">
        <v>45677</v>
      </c>
      <c r="C280" s="2" t="s">
        <v>375</v>
      </c>
      <c r="D280" s="2" t="s">
        <v>9</v>
      </c>
      <c r="E280" s="15" t="s">
        <v>53</v>
      </c>
      <c r="F280" s="15" t="s">
        <v>90</v>
      </c>
      <c r="G280" s="2" t="s">
        <v>11</v>
      </c>
      <c r="H280" t="str">
        <f>_xlfn.CONCAT(Table1[[#This Row],[Attendance_ID]],Table1[[#This Row],[Date]],Table1[[#This Row],[Employee_ID]])</f>
        <v>ATT0029445677EMP1028</v>
      </c>
      <c r="I280" s="12" t="e">
        <f>VLOOKUP(Table1[[#This Row],[Employee_ID]],[1]!Table1[[Employee_ID]:[Employee_Name]],2,0)</f>
        <v>#REF!</v>
      </c>
      <c r="J280" s="2" t="b">
        <f>Table1[[#This Row],[Login_Time]]&lt;Table1[[#This Row],[Logout_Time]]</f>
        <v>1</v>
      </c>
    </row>
    <row r="281" spans="1:10" ht="15" customHeight="1">
      <c r="A281" s="2" t="s">
        <v>381</v>
      </c>
      <c r="B281" s="3">
        <v>45689</v>
      </c>
      <c r="C281" s="2" t="s">
        <v>375</v>
      </c>
      <c r="D281" s="2" t="s">
        <v>9</v>
      </c>
      <c r="E281" s="15" t="s">
        <v>50</v>
      </c>
      <c r="F281" s="15" t="s">
        <v>154</v>
      </c>
      <c r="G281" s="2" t="s">
        <v>21</v>
      </c>
      <c r="H281" t="str">
        <f>_xlfn.CONCAT(Table1[[#This Row],[Attendance_ID]],Table1[[#This Row],[Date]],Table1[[#This Row],[Employee_ID]])</f>
        <v>ATT0034445689EMP1028</v>
      </c>
      <c r="I281" s="12" t="e">
        <f>VLOOKUP(Table1[[#This Row],[Employee_ID]],[1]!Table1[[Employee_ID]:[Employee_Name]],2,0)</f>
        <v>#REF!</v>
      </c>
      <c r="J281" s="2" t="b">
        <f>Table1[[#This Row],[Login_Time]]&lt;Table1[[#This Row],[Logout_Time]]</f>
        <v>1</v>
      </c>
    </row>
    <row r="282" spans="1:10" ht="15" customHeight="1">
      <c r="A282" s="2" t="s">
        <v>382</v>
      </c>
      <c r="B282" s="3">
        <v>45703</v>
      </c>
      <c r="C282" s="2" t="s">
        <v>375</v>
      </c>
      <c r="D282" s="2" t="s">
        <v>9</v>
      </c>
      <c r="E282" s="15" t="s">
        <v>100</v>
      </c>
      <c r="F282" s="15" t="s">
        <v>168</v>
      </c>
      <c r="G282" s="2" t="s">
        <v>11</v>
      </c>
      <c r="H282" t="str">
        <f>_xlfn.CONCAT(Table1[[#This Row],[Attendance_ID]],Table1[[#This Row],[Date]],Table1[[#This Row],[Employee_ID]])</f>
        <v>ATT0039445703EMP1028</v>
      </c>
      <c r="I282" s="12" t="e">
        <f>VLOOKUP(Table1[[#This Row],[Employee_ID]],[1]!Table1[[Employee_ID]:[Employee_Name]],2,0)</f>
        <v>#REF!</v>
      </c>
      <c r="J282" s="2" t="b">
        <f>Table1[[#This Row],[Login_Time]]&lt;Table1[[#This Row],[Logout_Time]]</f>
        <v>1</v>
      </c>
    </row>
    <row r="283" spans="1:10" ht="15" customHeight="1">
      <c r="A283" s="2" t="s">
        <v>383</v>
      </c>
      <c r="B283" s="3">
        <v>45686</v>
      </c>
      <c r="C283" s="2" t="s">
        <v>375</v>
      </c>
      <c r="D283" s="2" t="s">
        <v>42</v>
      </c>
      <c r="E283" s="15" t="s">
        <v>100</v>
      </c>
      <c r="F283" s="15" t="s">
        <v>68</v>
      </c>
      <c r="G283" s="2" t="s">
        <v>11</v>
      </c>
      <c r="H283" t="str">
        <f>_xlfn.CONCAT(Table1[[#This Row],[Attendance_ID]],Table1[[#This Row],[Date]],Table1[[#This Row],[Employee_ID]])</f>
        <v>ATT0044445686EMP1028</v>
      </c>
      <c r="I283" s="12" t="e">
        <f>VLOOKUP(Table1[[#This Row],[Employee_ID]],[1]!Table1[[Employee_ID]:[Employee_Name]],2,0)</f>
        <v>#REF!</v>
      </c>
      <c r="J283" s="2" t="b">
        <f>Table1[[#This Row],[Login_Time]]&lt;Table1[[#This Row],[Logout_Time]]</f>
        <v>1</v>
      </c>
    </row>
    <row r="284" spans="1:10" ht="15" customHeight="1">
      <c r="A284" s="2" t="s">
        <v>384</v>
      </c>
      <c r="B284" s="3">
        <v>45744</v>
      </c>
      <c r="C284" s="2" t="s">
        <v>375</v>
      </c>
      <c r="D284" s="2" t="s">
        <v>9</v>
      </c>
      <c r="E284" s="15" t="s">
        <v>108</v>
      </c>
      <c r="F284" s="15" t="s">
        <v>55</v>
      </c>
      <c r="G284" s="2" t="s">
        <v>11</v>
      </c>
      <c r="H284" t="str">
        <f>_xlfn.CONCAT(Table1[[#This Row],[Attendance_ID]],Table1[[#This Row],[Date]],Table1[[#This Row],[Employee_ID]])</f>
        <v>ATT0049445744EMP1028</v>
      </c>
      <c r="I284" s="12" t="e">
        <f>VLOOKUP(Table1[[#This Row],[Employee_ID]],[1]!Table1[[Employee_ID]:[Employee_Name]],2,0)</f>
        <v>#REF!</v>
      </c>
      <c r="J284" s="2" t="b">
        <f>Table1[[#This Row],[Login_Time]]&lt;Table1[[#This Row],[Logout_Time]]</f>
        <v>1</v>
      </c>
    </row>
    <row r="285" spans="1:10" ht="15" customHeight="1">
      <c r="A285" s="2" t="s">
        <v>385</v>
      </c>
      <c r="B285" s="3">
        <v>45685</v>
      </c>
      <c r="C285" s="2" t="s">
        <v>386</v>
      </c>
      <c r="D285" s="2" t="s">
        <v>42</v>
      </c>
      <c r="E285" s="15" t="s">
        <v>47</v>
      </c>
      <c r="F285" s="15" t="s">
        <v>68</v>
      </c>
      <c r="G285" s="2" t="s">
        <v>21</v>
      </c>
      <c r="H285" t="str">
        <f>_xlfn.CONCAT(Table1[[#This Row],[Attendance_ID]],Table1[[#This Row],[Date]],Table1[[#This Row],[Employee_ID]])</f>
        <v>ATT0004545685EMP1029</v>
      </c>
      <c r="I285" s="12" t="e">
        <f>VLOOKUP(Table1[[#This Row],[Employee_ID]],[1]!Table1[[Employee_ID]:[Employee_Name]],2,0)</f>
        <v>#REF!</v>
      </c>
      <c r="J285" s="2" t="b">
        <f>Table1[[#This Row],[Login_Time]]&lt;Table1[[#This Row],[Logout_Time]]</f>
        <v>1</v>
      </c>
    </row>
    <row r="286" spans="1:10" ht="15" customHeight="1">
      <c r="A286" s="2" t="s">
        <v>387</v>
      </c>
      <c r="B286" s="3">
        <v>45726</v>
      </c>
      <c r="C286" s="2" t="s">
        <v>386</v>
      </c>
      <c r="D286" s="2" t="s">
        <v>42</v>
      </c>
      <c r="E286" s="15" t="s">
        <v>16</v>
      </c>
      <c r="F286" s="15" t="s">
        <v>72</v>
      </c>
      <c r="G286" s="2" t="s">
        <v>11</v>
      </c>
      <c r="H286" t="str">
        <f>_xlfn.CONCAT(Table1[[#This Row],[Attendance_ID]],Table1[[#This Row],[Date]],Table1[[#This Row],[Employee_ID]])</f>
        <v>ATT0009545726EMP1029</v>
      </c>
      <c r="I286" s="12" t="e">
        <f>VLOOKUP(Table1[[#This Row],[Employee_ID]],[1]!Table1[[Employee_ID]:[Employee_Name]],2,0)</f>
        <v>#REF!</v>
      </c>
      <c r="J286" s="2" t="b">
        <f>Table1[[#This Row],[Login_Time]]&lt;Table1[[#This Row],[Logout_Time]]</f>
        <v>1</v>
      </c>
    </row>
    <row r="287" spans="1:10" ht="15" hidden="1" customHeight="1">
      <c r="A287" s="2" t="s">
        <v>388</v>
      </c>
      <c r="B287" s="3">
        <v>45708</v>
      </c>
      <c r="C287" s="2" t="s">
        <v>386</v>
      </c>
      <c r="D287" s="2" t="s">
        <v>26</v>
      </c>
      <c r="E287" s="15"/>
      <c r="F287" s="15"/>
      <c r="G287" s="2" t="s">
        <v>11</v>
      </c>
      <c r="H287" t="str">
        <f>_xlfn.CONCAT(Table1[[#This Row],[Attendance_ID]],Table1[[#This Row],[Date]],Table1[[#This Row],[Employee_ID]])</f>
        <v>ATT0014545708EMP1029</v>
      </c>
      <c r="I287" s="12" t="e">
        <f>VLOOKUP(Table1[[#This Row],[Employee_ID]],[1]!Table1[[Employee_ID]:[Employee_Name]],2,0)</f>
        <v>#REF!</v>
      </c>
      <c r="J287" s="2" t="b">
        <f>Table1[[#This Row],[Login_Time]]&lt;Table1[[#This Row],[Logout_Time]]</f>
        <v>0</v>
      </c>
    </row>
    <row r="288" spans="1:10" ht="15" hidden="1" customHeight="1">
      <c r="A288" s="2" t="s">
        <v>389</v>
      </c>
      <c r="B288" s="3">
        <v>45719</v>
      </c>
      <c r="C288" s="2" t="s">
        <v>386</v>
      </c>
      <c r="D288" s="2" t="s">
        <v>26</v>
      </c>
      <c r="E288" s="15"/>
      <c r="F288" s="15"/>
      <c r="G288" s="2" t="s">
        <v>11</v>
      </c>
      <c r="H288" t="str">
        <f>_xlfn.CONCAT(Table1[[#This Row],[Attendance_ID]],Table1[[#This Row],[Date]],Table1[[#This Row],[Employee_ID]])</f>
        <v>ATT0019545719EMP1029</v>
      </c>
      <c r="I288" s="12" t="e">
        <f>VLOOKUP(Table1[[#This Row],[Employee_ID]],[1]!Table1[[Employee_ID]:[Employee_Name]],2,0)</f>
        <v>#REF!</v>
      </c>
      <c r="J288" s="2" t="b">
        <f>Table1[[#This Row],[Login_Time]]&lt;Table1[[#This Row],[Logout_Time]]</f>
        <v>0</v>
      </c>
    </row>
    <row r="289" spans="1:10" ht="15" customHeight="1">
      <c r="A289" s="2" t="s">
        <v>390</v>
      </c>
      <c r="B289" s="3">
        <v>45718</v>
      </c>
      <c r="C289" s="2" t="s">
        <v>386</v>
      </c>
      <c r="D289" s="2" t="s">
        <v>9</v>
      </c>
      <c r="E289" s="15" t="s">
        <v>16</v>
      </c>
      <c r="F289" s="15" t="s">
        <v>106</v>
      </c>
      <c r="G289" s="2" t="s">
        <v>11</v>
      </c>
      <c r="H289" t="str">
        <f>_xlfn.CONCAT(Table1[[#This Row],[Attendance_ID]],Table1[[#This Row],[Date]],Table1[[#This Row],[Employee_ID]])</f>
        <v>ATT0024545718EMP1029</v>
      </c>
      <c r="I289" s="12" t="e">
        <f>VLOOKUP(Table1[[#This Row],[Employee_ID]],[1]!Table1[[Employee_ID]:[Employee_Name]],2,0)</f>
        <v>#REF!</v>
      </c>
      <c r="J289" s="2" t="b">
        <f>Table1[[#This Row],[Login_Time]]&lt;Table1[[#This Row],[Logout_Time]]</f>
        <v>1</v>
      </c>
    </row>
    <row r="290" spans="1:10" ht="15" customHeight="1">
      <c r="A290" s="2" t="s">
        <v>391</v>
      </c>
      <c r="B290" s="3">
        <v>45745</v>
      </c>
      <c r="C290" s="2" t="s">
        <v>386</v>
      </c>
      <c r="D290" s="2" t="s">
        <v>9</v>
      </c>
      <c r="E290" s="15" t="s">
        <v>61</v>
      </c>
      <c r="F290" s="15" t="s">
        <v>14</v>
      </c>
      <c r="G290" s="2" t="s">
        <v>21</v>
      </c>
      <c r="H290" t="str">
        <f>_xlfn.CONCAT(Table1[[#This Row],[Attendance_ID]],Table1[[#This Row],[Date]],Table1[[#This Row],[Employee_ID]])</f>
        <v>ATT0029545745EMP1029</v>
      </c>
      <c r="I290" s="12" t="e">
        <f>VLOOKUP(Table1[[#This Row],[Employee_ID]],[1]!Table1[[Employee_ID]:[Employee_Name]],2,0)</f>
        <v>#REF!</v>
      </c>
      <c r="J290" s="2" t="b">
        <f>Table1[[#This Row],[Login_Time]]&lt;Table1[[#This Row],[Logout_Time]]</f>
        <v>1</v>
      </c>
    </row>
    <row r="291" spans="1:10" ht="15" hidden="1" customHeight="1">
      <c r="A291" s="2" t="s">
        <v>392</v>
      </c>
      <c r="B291" s="3">
        <v>45665</v>
      </c>
      <c r="C291" s="2" t="s">
        <v>386</v>
      </c>
      <c r="D291" s="2" t="s">
        <v>70</v>
      </c>
      <c r="E291" s="15"/>
      <c r="F291" s="15"/>
      <c r="G291" s="2" t="s">
        <v>11</v>
      </c>
      <c r="H291" t="str">
        <f>_xlfn.CONCAT(Table1[[#This Row],[Attendance_ID]],Table1[[#This Row],[Date]],Table1[[#This Row],[Employee_ID]])</f>
        <v>ATT0034545665EMP1029</v>
      </c>
      <c r="I291" s="12" t="e">
        <f>VLOOKUP(Table1[[#This Row],[Employee_ID]],[1]!Table1[[Employee_ID]:[Employee_Name]],2,0)</f>
        <v>#REF!</v>
      </c>
      <c r="J291" s="2" t="b">
        <f>Table1[[#This Row],[Login_Time]]&lt;Table1[[#This Row],[Logout_Time]]</f>
        <v>0</v>
      </c>
    </row>
    <row r="292" spans="1:10" ht="15" customHeight="1">
      <c r="A292" s="2" t="s">
        <v>393</v>
      </c>
      <c r="B292" s="3">
        <v>45732</v>
      </c>
      <c r="C292" s="2" t="s">
        <v>386</v>
      </c>
      <c r="D292" s="2" t="s">
        <v>42</v>
      </c>
      <c r="E292" s="15" t="s">
        <v>53</v>
      </c>
      <c r="F292" s="15" t="s">
        <v>191</v>
      </c>
      <c r="G292" s="2" t="s">
        <v>11</v>
      </c>
      <c r="H292" t="str">
        <f>_xlfn.CONCAT(Table1[[#This Row],[Attendance_ID]],Table1[[#This Row],[Date]],Table1[[#This Row],[Employee_ID]])</f>
        <v>ATT0039545732EMP1029</v>
      </c>
      <c r="I292" s="12" t="e">
        <f>VLOOKUP(Table1[[#This Row],[Employee_ID]],[1]!Table1[[Employee_ID]:[Employee_Name]],2,0)</f>
        <v>#REF!</v>
      </c>
      <c r="J292" s="2" t="b">
        <f>Table1[[#This Row],[Login_Time]]&lt;Table1[[#This Row],[Logout_Time]]</f>
        <v>1</v>
      </c>
    </row>
    <row r="293" spans="1:10" ht="15" hidden="1" customHeight="1">
      <c r="A293" s="2" t="s">
        <v>394</v>
      </c>
      <c r="B293" s="3">
        <v>45658</v>
      </c>
      <c r="C293" s="2" t="s">
        <v>386</v>
      </c>
      <c r="D293" s="2" t="s">
        <v>26</v>
      </c>
      <c r="E293" s="15"/>
      <c r="F293" s="15"/>
      <c r="G293" s="2" t="s">
        <v>11</v>
      </c>
      <c r="H293" t="str">
        <f>_xlfn.CONCAT(Table1[[#This Row],[Attendance_ID]],Table1[[#This Row],[Date]],Table1[[#This Row],[Employee_ID]])</f>
        <v>ATT0044545658EMP1029</v>
      </c>
      <c r="I293" s="12" t="e">
        <f>VLOOKUP(Table1[[#This Row],[Employee_ID]],[1]!Table1[[Employee_ID]:[Employee_Name]],2,0)</f>
        <v>#REF!</v>
      </c>
      <c r="J293" s="2" t="b">
        <f>Table1[[#This Row],[Login_Time]]&lt;Table1[[#This Row],[Logout_Time]]</f>
        <v>0</v>
      </c>
    </row>
    <row r="294" spans="1:10" ht="15" hidden="1" customHeight="1">
      <c r="A294" s="2" t="s">
        <v>395</v>
      </c>
      <c r="B294" s="3">
        <v>45670</v>
      </c>
      <c r="C294" s="2" t="s">
        <v>386</v>
      </c>
      <c r="D294" s="2" t="s">
        <v>70</v>
      </c>
      <c r="E294" s="15"/>
      <c r="F294" s="15"/>
      <c r="G294" s="2" t="s">
        <v>11</v>
      </c>
      <c r="H294" t="str">
        <f>_xlfn.CONCAT(Table1[[#This Row],[Attendance_ID]],Table1[[#This Row],[Date]],Table1[[#This Row],[Employee_ID]])</f>
        <v>ATT0049545670EMP1029</v>
      </c>
      <c r="I294" s="12" t="e">
        <f>VLOOKUP(Table1[[#This Row],[Employee_ID]],[1]!Table1[[Employee_ID]:[Employee_Name]],2,0)</f>
        <v>#REF!</v>
      </c>
      <c r="J294" s="2" t="b">
        <f>Table1[[#This Row],[Login_Time]]&lt;Table1[[#This Row],[Logout_Time]]</f>
        <v>0</v>
      </c>
    </row>
    <row r="295" spans="1:10" ht="15" customHeight="1">
      <c r="A295" s="2" t="s">
        <v>396</v>
      </c>
      <c r="B295" s="3">
        <v>45708</v>
      </c>
      <c r="C295" s="2" t="s">
        <v>397</v>
      </c>
      <c r="D295" s="2" t="s">
        <v>42</v>
      </c>
      <c r="E295" s="15" t="s">
        <v>28</v>
      </c>
      <c r="F295" s="15" t="s">
        <v>261</v>
      </c>
      <c r="G295" s="2" t="s">
        <v>21</v>
      </c>
      <c r="H295" t="str">
        <f>_xlfn.CONCAT(Table1[[#This Row],[Attendance_ID]],Table1[[#This Row],[Date]],Table1[[#This Row],[Employee_ID]])</f>
        <v>ATT0004645708EMP1030</v>
      </c>
      <c r="I295" s="12" t="e">
        <f>VLOOKUP(Table1[[#This Row],[Employee_ID]],[1]!Table1[[Employee_ID]:[Employee_Name]],2,0)</f>
        <v>#REF!</v>
      </c>
      <c r="J295" s="2" t="b">
        <f>Table1[[#This Row],[Login_Time]]&lt;Table1[[#This Row],[Logout_Time]]</f>
        <v>1</v>
      </c>
    </row>
    <row r="296" spans="1:10" ht="15" customHeight="1">
      <c r="A296" s="2" t="s">
        <v>398</v>
      </c>
      <c r="B296" s="3">
        <v>45688</v>
      </c>
      <c r="C296" s="2" t="s">
        <v>397</v>
      </c>
      <c r="D296" s="2" t="s">
        <v>42</v>
      </c>
      <c r="E296" s="15" t="s">
        <v>57</v>
      </c>
      <c r="F296" s="15" t="s">
        <v>48</v>
      </c>
      <c r="G296" s="2" t="s">
        <v>11</v>
      </c>
      <c r="H296" t="str">
        <f>_xlfn.CONCAT(Table1[[#This Row],[Attendance_ID]],Table1[[#This Row],[Date]],Table1[[#This Row],[Employee_ID]])</f>
        <v>ATT0009645688EMP1030</v>
      </c>
      <c r="I296" s="12" t="e">
        <f>VLOOKUP(Table1[[#This Row],[Employee_ID]],[1]!Table1[[Employee_ID]:[Employee_Name]],2,0)</f>
        <v>#REF!</v>
      </c>
      <c r="J296" s="2" t="b">
        <f>Table1[[#This Row],[Login_Time]]&lt;Table1[[#This Row],[Logout_Time]]</f>
        <v>1</v>
      </c>
    </row>
    <row r="297" spans="1:10" ht="15" hidden="1" customHeight="1">
      <c r="A297" s="2" t="s">
        <v>399</v>
      </c>
      <c r="B297" s="3">
        <v>45705</v>
      </c>
      <c r="C297" s="2" t="s">
        <v>397</v>
      </c>
      <c r="D297" s="2" t="s">
        <v>70</v>
      </c>
      <c r="E297" s="15"/>
      <c r="F297" s="15"/>
      <c r="G297" s="2" t="s">
        <v>11</v>
      </c>
      <c r="H297" t="str">
        <f>_xlfn.CONCAT(Table1[[#This Row],[Attendance_ID]],Table1[[#This Row],[Date]],Table1[[#This Row],[Employee_ID]])</f>
        <v>ATT0014645705EMP1030</v>
      </c>
      <c r="I297" s="12" t="e">
        <f>VLOOKUP(Table1[[#This Row],[Employee_ID]],[1]!Table1[[Employee_ID]:[Employee_Name]],2,0)</f>
        <v>#REF!</v>
      </c>
      <c r="J297" s="2" t="b">
        <f>Table1[[#This Row],[Login_Time]]&lt;Table1[[#This Row],[Logout_Time]]</f>
        <v>0</v>
      </c>
    </row>
    <row r="298" spans="1:10" ht="15" customHeight="1">
      <c r="A298" s="2" t="s">
        <v>400</v>
      </c>
      <c r="B298" s="3">
        <v>45687</v>
      </c>
      <c r="C298" s="2" t="s">
        <v>397</v>
      </c>
      <c r="D298" s="2" t="s">
        <v>42</v>
      </c>
      <c r="E298" s="15" t="s">
        <v>40</v>
      </c>
      <c r="F298" s="15" t="s">
        <v>24</v>
      </c>
      <c r="G298" s="2" t="s">
        <v>11</v>
      </c>
      <c r="H298" t="str">
        <f>_xlfn.CONCAT(Table1[[#This Row],[Attendance_ID]],Table1[[#This Row],[Date]],Table1[[#This Row],[Employee_ID]])</f>
        <v>ATT0019645687EMP1030</v>
      </c>
      <c r="I298" s="12" t="e">
        <f>VLOOKUP(Table1[[#This Row],[Employee_ID]],[1]!Table1[[Employee_ID]:[Employee_Name]],2,0)</f>
        <v>#REF!</v>
      </c>
      <c r="J298" s="2" t="b">
        <f>Table1[[#This Row],[Login_Time]]&lt;Table1[[#This Row],[Logout_Time]]</f>
        <v>1</v>
      </c>
    </row>
    <row r="299" spans="1:10" ht="15" customHeight="1">
      <c r="A299" s="2" t="s">
        <v>401</v>
      </c>
      <c r="B299" s="3">
        <v>45665</v>
      </c>
      <c r="C299" s="2" t="s">
        <v>397</v>
      </c>
      <c r="D299" s="2" t="s">
        <v>9</v>
      </c>
      <c r="E299" s="15" t="s">
        <v>53</v>
      </c>
      <c r="F299" s="15" t="s">
        <v>195</v>
      </c>
      <c r="G299" s="2" t="s">
        <v>11</v>
      </c>
      <c r="H299" t="str">
        <f>_xlfn.CONCAT(Table1[[#This Row],[Attendance_ID]],Table1[[#This Row],[Date]],Table1[[#This Row],[Employee_ID]])</f>
        <v>ATT0024645665EMP1030</v>
      </c>
      <c r="I299" s="12" t="e">
        <f>VLOOKUP(Table1[[#This Row],[Employee_ID]],[1]!Table1[[Employee_ID]:[Employee_Name]],2,0)</f>
        <v>#REF!</v>
      </c>
      <c r="J299" s="2" t="b">
        <f>Table1[[#This Row],[Login_Time]]&lt;Table1[[#This Row],[Logout_Time]]</f>
        <v>1</v>
      </c>
    </row>
    <row r="300" spans="1:10" ht="15" hidden="1" customHeight="1">
      <c r="A300" s="2" t="s">
        <v>402</v>
      </c>
      <c r="B300" s="3">
        <v>45675</v>
      </c>
      <c r="C300" s="2" t="s">
        <v>397</v>
      </c>
      <c r="D300" s="2" t="s">
        <v>26</v>
      </c>
      <c r="E300" s="15"/>
      <c r="F300" s="15"/>
      <c r="G300" s="2" t="s">
        <v>11</v>
      </c>
      <c r="H300" t="str">
        <f>_xlfn.CONCAT(Table1[[#This Row],[Attendance_ID]],Table1[[#This Row],[Date]],Table1[[#This Row],[Employee_ID]])</f>
        <v>ATT0029645675EMP1030</v>
      </c>
      <c r="I300" s="12" t="e">
        <f>VLOOKUP(Table1[[#This Row],[Employee_ID]],[1]!Table1[[Employee_ID]:[Employee_Name]],2,0)</f>
        <v>#REF!</v>
      </c>
      <c r="J300" s="2" t="b">
        <f>Table1[[#This Row],[Login_Time]]&lt;Table1[[#This Row],[Logout_Time]]</f>
        <v>0</v>
      </c>
    </row>
    <row r="301" spans="1:10" ht="15" hidden="1" customHeight="1">
      <c r="A301" s="2" t="s">
        <v>403</v>
      </c>
      <c r="B301" s="3">
        <v>45718</v>
      </c>
      <c r="C301" s="2" t="s">
        <v>397</v>
      </c>
      <c r="D301" s="2" t="s">
        <v>26</v>
      </c>
      <c r="E301" s="15"/>
      <c r="F301" s="15"/>
      <c r="G301" s="2" t="s">
        <v>11</v>
      </c>
      <c r="H301" t="str">
        <f>_xlfn.CONCAT(Table1[[#This Row],[Attendance_ID]],Table1[[#This Row],[Date]],Table1[[#This Row],[Employee_ID]])</f>
        <v>ATT0034645718EMP1030</v>
      </c>
      <c r="I301" s="12" t="e">
        <f>VLOOKUP(Table1[[#This Row],[Employee_ID]],[1]!Table1[[Employee_ID]:[Employee_Name]],2,0)</f>
        <v>#REF!</v>
      </c>
      <c r="J301" s="2" t="b">
        <f>Table1[[#This Row],[Login_Time]]&lt;Table1[[#This Row],[Logout_Time]]</f>
        <v>0</v>
      </c>
    </row>
    <row r="302" spans="1:10" ht="15" customHeight="1">
      <c r="A302" s="2" t="s">
        <v>404</v>
      </c>
      <c r="B302" s="3">
        <v>45702</v>
      </c>
      <c r="C302" s="2" t="s">
        <v>397</v>
      </c>
      <c r="D302" s="2" t="s">
        <v>9</v>
      </c>
      <c r="E302" s="15" t="s">
        <v>61</v>
      </c>
      <c r="F302" s="15" t="s">
        <v>122</v>
      </c>
      <c r="G302" s="2" t="s">
        <v>21</v>
      </c>
      <c r="H302" t="str">
        <f>_xlfn.CONCAT(Table1[[#This Row],[Attendance_ID]],Table1[[#This Row],[Date]],Table1[[#This Row],[Employee_ID]])</f>
        <v>ATT0039645702EMP1030</v>
      </c>
      <c r="I302" s="12" t="e">
        <f>VLOOKUP(Table1[[#This Row],[Employee_ID]],[1]!Table1[[Employee_ID]:[Employee_Name]],2,0)</f>
        <v>#REF!</v>
      </c>
      <c r="J302" s="2" t="b">
        <f>Table1[[#This Row],[Login_Time]]&lt;Table1[[#This Row],[Logout_Time]]</f>
        <v>1</v>
      </c>
    </row>
    <row r="303" spans="1:10" ht="15" hidden="1" customHeight="1">
      <c r="A303" s="2" t="s">
        <v>405</v>
      </c>
      <c r="B303" s="3">
        <v>45675</v>
      </c>
      <c r="C303" s="2" t="s">
        <v>397</v>
      </c>
      <c r="D303" s="2" t="s">
        <v>26</v>
      </c>
      <c r="E303" s="15"/>
      <c r="F303" s="15"/>
      <c r="G303" s="2" t="s">
        <v>11</v>
      </c>
      <c r="H303" t="str">
        <f>_xlfn.CONCAT(Table1[[#This Row],[Attendance_ID]],Table1[[#This Row],[Date]],Table1[[#This Row],[Employee_ID]])</f>
        <v>ATT0044645675EMP1030</v>
      </c>
      <c r="I303" s="12" t="e">
        <f>VLOOKUP(Table1[[#This Row],[Employee_ID]],[1]!Table1[[Employee_ID]:[Employee_Name]],2,0)</f>
        <v>#REF!</v>
      </c>
      <c r="J303" s="2" t="b">
        <f>Table1[[#This Row],[Login_Time]]&lt;Table1[[#This Row],[Logout_Time]]</f>
        <v>0</v>
      </c>
    </row>
    <row r="304" spans="1:10" ht="15" customHeight="1">
      <c r="A304" s="2" t="s">
        <v>406</v>
      </c>
      <c r="B304" s="3">
        <v>45741</v>
      </c>
      <c r="C304" s="2" t="s">
        <v>397</v>
      </c>
      <c r="D304" s="2" t="s">
        <v>42</v>
      </c>
      <c r="E304" s="15" t="s">
        <v>13</v>
      </c>
      <c r="F304" s="15" t="s">
        <v>195</v>
      </c>
      <c r="G304" s="2" t="s">
        <v>11</v>
      </c>
      <c r="H304" t="str">
        <f>_xlfn.CONCAT(Table1[[#This Row],[Attendance_ID]],Table1[[#This Row],[Date]],Table1[[#This Row],[Employee_ID]])</f>
        <v>ATT0049645741EMP1030</v>
      </c>
      <c r="I304" s="12" t="e">
        <f>VLOOKUP(Table1[[#This Row],[Employee_ID]],[1]!Table1[[Employee_ID]:[Employee_Name]],2,0)</f>
        <v>#REF!</v>
      </c>
      <c r="J304" s="2" t="b">
        <f>Table1[[#This Row],[Login_Time]]&lt;Table1[[#This Row],[Logout_Time]]</f>
        <v>1</v>
      </c>
    </row>
    <row r="305" spans="1:10" ht="15" customHeight="1">
      <c r="A305" s="2" t="s">
        <v>407</v>
      </c>
      <c r="B305" s="3">
        <v>45704</v>
      </c>
      <c r="C305" s="2" t="s">
        <v>408</v>
      </c>
      <c r="D305" s="2" t="s">
        <v>9</v>
      </c>
      <c r="E305" s="15" t="s">
        <v>115</v>
      </c>
      <c r="F305" s="15" t="s">
        <v>154</v>
      </c>
      <c r="G305" s="2" t="s">
        <v>21</v>
      </c>
      <c r="H305" t="str">
        <f>_xlfn.CONCAT(Table1[[#This Row],[Attendance_ID]],Table1[[#This Row],[Date]],Table1[[#This Row],[Employee_ID]])</f>
        <v>ATT0004745704EMP1031</v>
      </c>
      <c r="I305" s="12" t="e">
        <f>VLOOKUP(Table1[[#This Row],[Employee_ID]],[1]!Table1[[Employee_ID]:[Employee_Name]],2,0)</f>
        <v>#REF!</v>
      </c>
      <c r="J305" s="2" t="b">
        <f>Table1[[#This Row],[Login_Time]]&lt;Table1[[#This Row],[Logout_Time]]</f>
        <v>1</v>
      </c>
    </row>
    <row r="306" spans="1:10" ht="15" customHeight="1">
      <c r="A306" s="2" t="s">
        <v>409</v>
      </c>
      <c r="B306" s="3">
        <v>45677</v>
      </c>
      <c r="C306" s="2" t="s">
        <v>408</v>
      </c>
      <c r="D306" s="2" t="s">
        <v>42</v>
      </c>
      <c r="E306" s="15" t="s">
        <v>105</v>
      </c>
      <c r="F306" s="15" t="s">
        <v>20</v>
      </c>
      <c r="G306" s="2" t="s">
        <v>21</v>
      </c>
      <c r="H306" t="str">
        <f>_xlfn.CONCAT(Table1[[#This Row],[Attendance_ID]],Table1[[#This Row],[Date]],Table1[[#This Row],[Employee_ID]])</f>
        <v>ATT0009745677EMP1031</v>
      </c>
      <c r="I306" s="12" t="e">
        <f>VLOOKUP(Table1[[#This Row],[Employee_ID]],[1]!Table1[[Employee_ID]:[Employee_Name]],2,0)</f>
        <v>#REF!</v>
      </c>
      <c r="J306" s="2" t="b">
        <f>Table1[[#This Row],[Login_Time]]&lt;Table1[[#This Row],[Logout_Time]]</f>
        <v>1</v>
      </c>
    </row>
    <row r="307" spans="1:10" ht="15" customHeight="1">
      <c r="A307" s="2" t="s">
        <v>410</v>
      </c>
      <c r="B307" s="3">
        <v>45670</v>
      </c>
      <c r="C307" s="2" t="s">
        <v>408</v>
      </c>
      <c r="D307" s="2" t="s">
        <v>42</v>
      </c>
      <c r="E307" s="15" t="s">
        <v>43</v>
      </c>
      <c r="F307" s="15" t="s">
        <v>211</v>
      </c>
      <c r="G307" s="2" t="s">
        <v>21</v>
      </c>
      <c r="H307" t="str">
        <f>_xlfn.CONCAT(Table1[[#This Row],[Attendance_ID]],Table1[[#This Row],[Date]],Table1[[#This Row],[Employee_ID]])</f>
        <v>ATT0014745670EMP1031</v>
      </c>
      <c r="I307" s="12" t="e">
        <f>VLOOKUP(Table1[[#This Row],[Employee_ID]],[1]!Table1[[Employee_ID]:[Employee_Name]],2,0)</f>
        <v>#REF!</v>
      </c>
      <c r="J307" s="2" t="b">
        <f>Table1[[#This Row],[Login_Time]]&lt;Table1[[#This Row],[Logout_Time]]</f>
        <v>1</v>
      </c>
    </row>
    <row r="308" spans="1:10" ht="15" customHeight="1">
      <c r="A308" s="2" t="s">
        <v>411</v>
      </c>
      <c r="B308" s="3">
        <v>45677</v>
      </c>
      <c r="C308" s="2" t="s">
        <v>408</v>
      </c>
      <c r="D308" s="2" t="s">
        <v>42</v>
      </c>
      <c r="E308" s="15" t="s">
        <v>57</v>
      </c>
      <c r="F308" s="15" t="s">
        <v>113</v>
      </c>
      <c r="G308" s="2" t="s">
        <v>11</v>
      </c>
      <c r="H308" t="str">
        <f>_xlfn.CONCAT(Table1[[#This Row],[Attendance_ID]],Table1[[#This Row],[Date]],Table1[[#This Row],[Employee_ID]])</f>
        <v>ATT0019745677EMP1031</v>
      </c>
      <c r="I308" s="12" t="e">
        <f>VLOOKUP(Table1[[#This Row],[Employee_ID]],[1]!Table1[[Employee_ID]:[Employee_Name]],2,0)</f>
        <v>#REF!</v>
      </c>
      <c r="J308" s="2" t="b">
        <f>Table1[[#This Row],[Login_Time]]&lt;Table1[[#This Row],[Logout_Time]]</f>
        <v>1</v>
      </c>
    </row>
    <row r="309" spans="1:10" ht="15" customHeight="1">
      <c r="A309" s="2" t="s">
        <v>412</v>
      </c>
      <c r="B309" s="3">
        <v>45661</v>
      </c>
      <c r="C309" s="2" t="s">
        <v>408</v>
      </c>
      <c r="D309" s="2" t="s">
        <v>9</v>
      </c>
      <c r="E309" s="15" t="s">
        <v>105</v>
      </c>
      <c r="F309" s="15" t="s">
        <v>32</v>
      </c>
      <c r="G309" s="2" t="s">
        <v>21</v>
      </c>
      <c r="H309" t="str">
        <f>_xlfn.CONCAT(Table1[[#This Row],[Attendance_ID]],Table1[[#This Row],[Date]],Table1[[#This Row],[Employee_ID]])</f>
        <v>ATT0024745661EMP1031</v>
      </c>
      <c r="I309" s="12" t="e">
        <f>VLOOKUP(Table1[[#This Row],[Employee_ID]],[1]!Table1[[Employee_ID]:[Employee_Name]],2,0)</f>
        <v>#REF!</v>
      </c>
      <c r="J309" s="2" t="b">
        <f>Table1[[#This Row],[Login_Time]]&lt;Table1[[#This Row],[Logout_Time]]</f>
        <v>1</v>
      </c>
    </row>
    <row r="310" spans="1:10" ht="15" customHeight="1">
      <c r="A310" s="2" t="s">
        <v>413</v>
      </c>
      <c r="B310" s="3">
        <v>45715</v>
      </c>
      <c r="C310" s="2" t="s">
        <v>408</v>
      </c>
      <c r="D310" s="2" t="s">
        <v>9</v>
      </c>
      <c r="E310" s="15" t="s">
        <v>43</v>
      </c>
      <c r="F310" s="15" t="s">
        <v>24</v>
      </c>
      <c r="G310" s="2" t="s">
        <v>21</v>
      </c>
      <c r="H310" t="str">
        <f>_xlfn.CONCAT(Table1[[#This Row],[Attendance_ID]],Table1[[#This Row],[Date]],Table1[[#This Row],[Employee_ID]])</f>
        <v>ATT0029745715EMP1031</v>
      </c>
      <c r="I310" s="12" t="e">
        <f>VLOOKUP(Table1[[#This Row],[Employee_ID]],[1]!Table1[[Employee_ID]:[Employee_Name]],2,0)</f>
        <v>#REF!</v>
      </c>
      <c r="J310" s="2" t="b">
        <f>Table1[[#This Row],[Login_Time]]&lt;Table1[[#This Row],[Logout_Time]]</f>
        <v>1</v>
      </c>
    </row>
    <row r="311" spans="1:10" ht="15" customHeight="1">
      <c r="A311" s="2" t="s">
        <v>414</v>
      </c>
      <c r="B311" s="3">
        <v>45743</v>
      </c>
      <c r="C311" s="2" t="s">
        <v>408</v>
      </c>
      <c r="D311" s="2" t="s">
        <v>9</v>
      </c>
      <c r="E311" s="15" t="s">
        <v>57</v>
      </c>
      <c r="F311" s="15" t="s">
        <v>17</v>
      </c>
      <c r="G311" s="2" t="s">
        <v>11</v>
      </c>
      <c r="H311" t="str">
        <f>_xlfn.CONCAT(Table1[[#This Row],[Attendance_ID]],Table1[[#This Row],[Date]],Table1[[#This Row],[Employee_ID]])</f>
        <v>ATT0034745743EMP1031</v>
      </c>
      <c r="I311" s="12" t="e">
        <f>VLOOKUP(Table1[[#This Row],[Employee_ID]],[1]!Table1[[Employee_ID]:[Employee_Name]],2,0)</f>
        <v>#REF!</v>
      </c>
      <c r="J311" s="2" t="b">
        <f>Table1[[#This Row],[Login_Time]]&lt;Table1[[#This Row],[Logout_Time]]</f>
        <v>1</v>
      </c>
    </row>
    <row r="312" spans="1:10" ht="15" hidden="1" customHeight="1">
      <c r="A312" s="2" t="s">
        <v>415</v>
      </c>
      <c r="B312" s="3">
        <v>45698</v>
      </c>
      <c r="C312" s="2" t="s">
        <v>408</v>
      </c>
      <c r="D312" s="2" t="s">
        <v>26</v>
      </c>
      <c r="E312" s="15"/>
      <c r="F312" s="15"/>
      <c r="G312" s="2" t="s">
        <v>11</v>
      </c>
      <c r="H312" t="str">
        <f>_xlfn.CONCAT(Table1[[#This Row],[Attendance_ID]],Table1[[#This Row],[Date]],Table1[[#This Row],[Employee_ID]])</f>
        <v>ATT0039745698EMP1031</v>
      </c>
      <c r="I312" s="12" t="e">
        <f>VLOOKUP(Table1[[#This Row],[Employee_ID]],[1]!Table1[[Employee_ID]:[Employee_Name]],2,0)</f>
        <v>#REF!</v>
      </c>
      <c r="J312" s="2" t="b">
        <f>Table1[[#This Row],[Login_Time]]&lt;Table1[[#This Row],[Logout_Time]]</f>
        <v>0</v>
      </c>
    </row>
    <row r="313" spans="1:10" ht="15" customHeight="1">
      <c r="A313" s="2" t="s">
        <v>416</v>
      </c>
      <c r="B313" s="3">
        <v>45703</v>
      </c>
      <c r="C313" s="2" t="s">
        <v>408</v>
      </c>
      <c r="D313" s="2" t="s">
        <v>9</v>
      </c>
      <c r="E313" s="15" t="s">
        <v>28</v>
      </c>
      <c r="F313" s="15" t="s">
        <v>122</v>
      </c>
      <c r="G313" s="2" t="s">
        <v>21</v>
      </c>
      <c r="H313" t="str">
        <f>_xlfn.CONCAT(Table1[[#This Row],[Attendance_ID]],Table1[[#This Row],[Date]],Table1[[#This Row],[Employee_ID]])</f>
        <v>ATT0044745703EMP1031</v>
      </c>
      <c r="I313" s="12" t="e">
        <f>VLOOKUP(Table1[[#This Row],[Employee_ID]],[1]!Table1[[Employee_ID]:[Employee_Name]],2,0)</f>
        <v>#REF!</v>
      </c>
      <c r="J313" s="2" t="b">
        <f>Table1[[#This Row],[Login_Time]]&lt;Table1[[#This Row],[Logout_Time]]</f>
        <v>1</v>
      </c>
    </row>
    <row r="314" spans="1:10" ht="15" customHeight="1">
      <c r="A314" s="2" t="s">
        <v>417</v>
      </c>
      <c r="B314" s="3">
        <v>45681</v>
      </c>
      <c r="C314" s="2" t="s">
        <v>408</v>
      </c>
      <c r="D314" s="2" t="s">
        <v>9</v>
      </c>
      <c r="E314" s="15" t="s">
        <v>31</v>
      </c>
      <c r="F314" s="15" t="s">
        <v>191</v>
      </c>
      <c r="G314" s="2" t="s">
        <v>21</v>
      </c>
      <c r="H314" t="str">
        <f>_xlfn.CONCAT(Table1[[#This Row],[Attendance_ID]],Table1[[#This Row],[Date]],Table1[[#This Row],[Employee_ID]])</f>
        <v>ATT0049745681EMP1031</v>
      </c>
      <c r="I314" s="12" t="e">
        <f>VLOOKUP(Table1[[#This Row],[Employee_ID]],[1]!Table1[[Employee_ID]:[Employee_Name]],2,0)</f>
        <v>#REF!</v>
      </c>
      <c r="J314" s="2" t="b">
        <f>Table1[[#This Row],[Login_Time]]&lt;Table1[[#This Row],[Logout_Time]]</f>
        <v>1</v>
      </c>
    </row>
    <row r="315" spans="1:10" ht="15" customHeight="1">
      <c r="A315" s="2" t="s">
        <v>418</v>
      </c>
      <c r="B315" s="3">
        <v>45714</v>
      </c>
      <c r="C315" s="2" t="s">
        <v>419</v>
      </c>
      <c r="D315" s="2" t="s">
        <v>9</v>
      </c>
      <c r="E315" s="15" t="s">
        <v>19</v>
      </c>
      <c r="F315" s="15" t="s">
        <v>292</v>
      </c>
      <c r="G315" s="2" t="s">
        <v>21</v>
      </c>
      <c r="H315" t="str">
        <f>_xlfn.CONCAT(Table1[[#This Row],[Attendance_ID]],Table1[[#This Row],[Date]],Table1[[#This Row],[Employee_ID]])</f>
        <v>ATT0004845714EMP1032</v>
      </c>
      <c r="I315" s="12" t="e">
        <f>VLOOKUP(Table1[[#This Row],[Employee_ID]],[1]!Table1[[Employee_ID]:[Employee_Name]],2,0)</f>
        <v>#REF!</v>
      </c>
      <c r="J315" s="2" t="b">
        <f>Table1[[#This Row],[Login_Time]]&lt;Table1[[#This Row],[Logout_Time]]</f>
        <v>1</v>
      </c>
    </row>
    <row r="316" spans="1:10" ht="15" hidden="1" customHeight="1">
      <c r="A316" s="2" t="s">
        <v>420</v>
      </c>
      <c r="B316" s="3">
        <v>45701</v>
      </c>
      <c r="C316" s="2" t="s">
        <v>419</v>
      </c>
      <c r="D316" s="2" t="s">
        <v>70</v>
      </c>
      <c r="E316" s="15"/>
      <c r="F316" s="15"/>
      <c r="G316" s="2" t="s">
        <v>11</v>
      </c>
      <c r="H316" t="str">
        <f>_xlfn.CONCAT(Table1[[#This Row],[Attendance_ID]],Table1[[#This Row],[Date]],Table1[[#This Row],[Employee_ID]])</f>
        <v>ATT0009845701EMP1032</v>
      </c>
      <c r="I316" s="12" t="e">
        <f>VLOOKUP(Table1[[#This Row],[Employee_ID]],[1]!Table1[[Employee_ID]:[Employee_Name]],2,0)</f>
        <v>#REF!</v>
      </c>
      <c r="J316" s="2" t="b">
        <f>Table1[[#This Row],[Login_Time]]&lt;Table1[[#This Row],[Logout_Time]]</f>
        <v>0</v>
      </c>
    </row>
    <row r="317" spans="1:10" ht="15" customHeight="1">
      <c r="A317" s="2" t="s">
        <v>421</v>
      </c>
      <c r="B317" s="3">
        <v>45701</v>
      </c>
      <c r="C317" s="2" t="s">
        <v>419</v>
      </c>
      <c r="D317" s="2" t="s">
        <v>42</v>
      </c>
      <c r="E317" s="15" t="s">
        <v>105</v>
      </c>
      <c r="F317" s="15" t="s">
        <v>29</v>
      </c>
      <c r="G317" s="2" t="s">
        <v>21</v>
      </c>
      <c r="H317" t="str">
        <f>_xlfn.CONCAT(Table1[[#This Row],[Attendance_ID]],Table1[[#This Row],[Date]],Table1[[#This Row],[Employee_ID]])</f>
        <v>ATT0014845701EMP1032</v>
      </c>
      <c r="I317" s="12" t="e">
        <f>VLOOKUP(Table1[[#This Row],[Employee_ID]],[1]!Table1[[Employee_ID]:[Employee_Name]],2,0)</f>
        <v>#REF!</v>
      </c>
      <c r="J317" s="2" t="b">
        <f>Table1[[#This Row],[Login_Time]]&lt;Table1[[#This Row],[Logout_Time]]</f>
        <v>1</v>
      </c>
    </row>
    <row r="318" spans="1:10" ht="15" customHeight="1">
      <c r="A318" s="2" t="s">
        <v>422</v>
      </c>
      <c r="B318" s="3">
        <v>45669</v>
      </c>
      <c r="C318" s="2" t="s">
        <v>419</v>
      </c>
      <c r="D318" s="2" t="s">
        <v>9</v>
      </c>
      <c r="E318" s="15" t="s">
        <v>28</v>
      </c>
      <c r="F318" s="15" t="s">
        <v>24</v>
      </c>
      <c r="G318" s="2" t="s">
        <v>21</v>
      </c>
      <c r="H318" t="str">
        <f>_xlfn.CONCAT(Table1[[#This Row],[Attendance_ID]],Table1[[#This Row],[Date]],Table1[[#This Row],[Employee_ID]])</f>
        <v>ATT0019845669EMP1032</v>
      </c>
      <c r="I318" s="12" t="e">
        <f>VLOOKUP(Table1[[#This Row],[Employee_ID]],[1]!Table1[[Employee_ID]:[Employee_Name]],2,0)</f>
        <v>#REF!</v>
      </c>
      <c r="J318" s="2" t="b">
        <f>Table1[[#This Row],[Login_Time]]&lt;Table1[[#This Row],[Logout_Time]]</f>
        <v>1</v>
      </c>
    </row>
    <row r="319" spans="1:10" ht="15" hidden="1" customHeight="1">
      <c r="A319" s="2" t="s">
        <v>423</v>
      </c>
      <c r="B319" s="3">
        <v>45713</v>
      </c>
      <c r="C319" s="2" t="s">
        <v>419</v>
      </c>
      <c r="D319" s="2" t="s">
        <v>70</v>
      </c>
      <c r="E319" s="15"/>
      <c r="F319" s="15"/>
      <c r="G319" s="2" t="s">
        <v>11</v>
      </c>
      <c r="H319" t="str">
        <f>_xlfn.CONCAT(Table1[[#This Row],[Attendance_ID]],Table1[[#This Row],[Date]],Table1[[#This Row],[Employee_ID]])</f>
        <v>ATT0024845713EMP1032</v>
      </c>
      <c r="I319" s="12" t="e">
        <f>VLOOKUP(Table1[[#This Row],[Employee_ID]],[1]!Table1[[Employee_ID]:[Employee_Name]],2,0)</f>
        <v>#REF!</v>
      </c>
      <c r="J319" s="2" t="b">
        <f>Table1[[#This Row],[Login_Time]]&lt;Table1[[#This Row],[Logout_Time]]</f>
        <v>0</v>
      </c>
    </row>
    <row r="320" spans="1:10" ht="15" customHeight="1">
      <c r="A320" s="2" t="s">
        <v>424</v>
      </c>
      <c r="B320" s="3">
        <v>45726</v>
      </c>
      <c r="C320" s="2" t="s">
        <v>419</v>
      </c>
      <c r="D320" s="2" t="s">
        <v>9</v>
      </c>
      <c r="E320" s="15" t="s">
        <v>43</v>
      </c>
      <c r="F320" s="15" t="s">
        <v>92</v>
      </c>
      <c r="G320" s="2" t="s">
        <v>21</v>
      </c>
      <c r="H320" t="str">
        <f>_xlfn.CONCAT(Table1[[#This Row],[Attendance_ID]],Table1[[#This Row],[Date]],Table1[[#This Row],[Employee_ID]])</f>
        <v>ATT0029845726EMP1032</v>
      </c>
      <c r="I320" s="12" t="e">
        <f>VLOOKUP(Table1[[#This Row],[Employee_ID]],[1]!Table1[[Employee_ID]:[Employee_Name]],2,0)</f>
        <v>#REF!</v>
      </c>
      <c r="J320" s="2" t="b">
        <f>Table1[[#This Row],[Login_Time]]&lt;Table1[[#This Row],[Logout_Time]]</f>
        <v>1</v>
      </c>
    </row>
    <row r="321" spans="1:10" ht="15" customHeight="1">
      <c r="A321" s="2" t="s">
        <v>425</v>
      </c>
      <c r="B321" s="3">
        <v>45745</v>
      </c>
      <c r="C321" s="2" t="s">
        <v>419</v>
      </c>
      <c r="D321" s="2" t="s">
        <v>9</v>
      </c>
      <c r="E321" s="15" t="s">
        <v>108</v>
      </c>
      <c r="F321" s="15" t="s">
        <v>37</v>
      </c>
      <c r="G321" s="2" t="s">
        <v>11</v>
      </c>
      <c r="H321" t="str">
        <f>_xlfn.CONCAT(Table1[[#This Row],[Attendance_ID]],Table1[[#This Row],[Date]],Table1[[#This Row],[Employee_ID]])</f>
        <v>ATT0034845745EMP1032</v>
      </c>
      <c r="I321" s="12" t="e">
        <f>VLOOKUP(Table1[[#This Row],[Employee_ID]],[1]!Table1[[Employee_ID]:[Employee_Name]],2,0)</f>
        <v>#REF!</v>
      </c>
      <c r="J321" s="2" t="b">
        <f>Table1[[#This Row],[Login_Time]]&lt;Table1[[#This Row],[Logout_Time]]</f>
        <v>1</v>
      </c>
    </row>
    <row r="322" spans="1:10" ht="15" customHeight="1">
      <c r="A322" s="2" t="s">
        <v>426</v>
      </c>
      <c r="B322" s="3">
        <v>45676</v>
      </c>
      <c r="C322" s="2" t="s">
        <v>419</v>
      </c>
      <c r="D322" s="2" t="s">
        <v>9</v>
      </c>
      <c r="E322" s="15" t="s">
        <v>158</v>
      </c>
      <c r="F322" s="15" t="s">
        <v>122</v>
      </c>
      <c r="G322" s="2" t="s">
        <v>11</v>
      </c>
      <c r="H322" t="str">
        <f>_xlfn.CONCAT(Table1[[#This Row],[Attendance_ID]],Table1[[#This Row],[Date]],Table1[[#This Row],[Employee_ID]])</f>
        <v>ATT0039845676EMP1032</v>
      </c>
      <c r="I322" s="12" t="e">
        <f>VLOOKUP(Table1[[#This Row],[Employee_ID]],[1]!Table1[[Employee_ID]:[Employee_Name]],2,0)</f>
        <v>#REF!</v>
      </c>
      <c r="J322" s="2" t="b">
        <f>Table1[[#This Row],[Login_Time]]&lt;Table1[[#This Row],[Logout_Time]]</f>
        <v>1</v>
      </c>
    </row>
    <row r="323" spans="1:10" ht="15" customHeight="1">
      <c r="A323" s="2" t="s">
        <v>427</v>
      </c>
      <c r="B323" s="3">
        <v>45744</v>
      </c>
      <c r="C323" s="2" t="s">
        <v>419</v>
      </c>
      <c r="D323" s="2" t="s">
        <v>9</v>
      </c>
      <c r="E323" s="15" t="s">
        <v>226</v>
      </c>
      <c r="F323" s="15" t="s">
        <v>195</v>
      </c>
      <c r="G323" s="2" t="s">
        <v>11</v>
      </c>
      <c r="H323" t="str">
        <f>_xlfn.CONCAT(Table1[[#This Row],[Attendance_ID]],Table1[[#This Row],[Date]],Table1[[#This Row],[Employee_ID]])</f>
        <v>ATT0044845744EMP1032</v>
      </c>
      <c r="I323" s="12" t="e">
        <f>VLOOKUP(Table1[[#This Row],[Employee_ID]],[1]!Table1[[Employee_ID]:[Employee_Name]],2,0)</f>
        <v>#REF!</v>
      </c>
      <c r="J323" s="2" t="b">
        <f>Table1[[#This Row],[Login_Time]]&lt;Table1[[#This Row],[Logout_Time]]</f>
        <v>1</v>
      </c>
    </row>
    <row r="324" spans="1:10" ht="15" hidden="1" customHeight="1">
      <c r="A324" s="2" t="s">
        <v>428</v>
      </c>
      <c r="B324" s="3">
        <v>45723</v>
      </c>
      <c r="C324" s="2" t="s">
        <v>419</v>
      </c>
      <c r="D324" s="2" t="s">
        <v>26</v>
      </c>
      <c r="E324" s="15"/>
      <c r="F324" s="15"/>
      <c r="G324" s="2" t="s">
        <v>11</v>
      </c>
      <c r="H324" t="str">
        <f>_xlfn.CONCAT(Table1[[#This Row],[Attendance_ID]],Table1[[#This Row],[Date]],Table1[[#This Row],[Employee_ID]])</f>
        <v>ATT0049845723EMP1032</v>
      </c>
      <c r="I324" s="12" t="e">
        <f>VLOOKUP(Table1[[#This Row],[Employee_ID]],[1]!Table1[[Employee_ID]:[Employee_Name]],2,0)</f>
        <v>#REF!</v>
      </c>
      <c r="J324" s="2" t="b">
        <f>Table1[[#This Row],[Login_Time]]&lt;Table1[[#This Row],[Logout_Time]]</f>
        <v>0</v>
      </c>
    </row>
    <row r="325" spans="1:10" ht="15" customHeight="1">
      <c r="A325" s="2" t="s">
        <v>429</v>
      </c>
      <c r="B325" s="3">
        <v>45714</v>
      </c>
      <c r="C325" s="2" t="s">
        <v>430</v>
      </c>
      <c r="D325" s="2" t="s">
        <v>9</v>
      </c>
      <c r="E325" s="15" t="s">
        <v>57</v>
      </c>
      <c r="F325" s="15" t="s">
        <v>17</v>
      </c>
      <c r="G325" s="2" t="s">
        <v>11</v>
      </c>
      <c r="H325" t="str">
        <f>_xlfn.CONCAT(Table1[[#This Row],[Attendance_ID]],Table1[[#This Row],[Date]],Table1[[#This Row],[Employee_ID]])</f>
        <v>ATT0004945714EMP1033</v>
      </c>
      <c r="I325" s="12" t="e">
        <f>VLOOKUP(Table1[[#This Row],[Employee_ID]],[1]!Table1[[Employee_ID]:[Employee_Name]],2,0)</f>
        <v>#REF!</v>
      </c>
      <c r="J325" s="2" t="b">
        <f>Table1[[#This Row],[Login_Time]]&lt;Table1[[#This Row],[Logout_Time]]</f>
        <v>1</v>
      </c>
    </row>
    <row r="326" spans="1:10" ht="15" customHeight="1">
      <c r="A326" s="2" t="s">
        <v>431</v>
      </c>
      <c r="B326" s="3">
        <v>45706</v>
      </c>
      <c r="C326" s="2" t="s">
        <v>430</v>
      </c>
      <c r="D326" s="2" t="s">
        <v>9</v>
      </c>
      <c r="E326" s="15" t="s">
        <v>61</v>
      </c>
      <c r="F326" s="15" t="s">
        <v>66</v>
      </c>
      <c r="G326" s="2" t="s">
        <v>21</v>
      </c>
      <c r="H326" t="str">
        <f>_xlfn.CONCAT(Table1[[#This Row],[Attendance_ID]],Table1[[#This Row],[Date]],Table1[[#This Row],[Employee_ID]])</f>
        <v>ATT0009945706EMP1033</v>
      </c>
      <c r="I326" s="12" t="e">
        <f>VLOOKUP(Table1[[#This Row],[Employee_ID]],[1]!Table1[[Employee_ID]:[Employee_Name]],2,0)</f>
        <v>#REF!</v>
      </c>
      <c r="J326" s="2" t="b">
        <f>Table1[[#This Row],[Login_Time]]&lt;Table1[[#This Row],[Logout_Time]]</f>
        <v>1</v>
      </c>
    </row>
    <row r="327" spans="1:10" ht="15" customHeight="1">
      <c r="A327" s="2" t="s">
        <v>432</v>
      </c>
      <c r="B327" s="3">
        <v>45673</v>
      </c>
      <c r="C327" s="2" t="s">
        <v>430</v>
      </c>
      <c r="D327" s="2" t="s">
        <v>9</v>
      </c>
      <c r="E327" s="15" t="s">
        <v>40</v>
      </c>
      <c r="F327" s="15" t="s">
        <v>78</v>
      </c>
      <c r="G327" s="2" t="s">
        <v>11</v>
      </c>
      <c r="H327" t="str">
        <f>_xlfn.CONCAT(Table1[[#This Row],[Attendance_ID]],Table1[[#This Row],[Date]],Table1[[#This Row],[Employee_ID]])</f>
        <v>ATT0014945673EMP1033</v>
      </c>
      <c r="I327" s="12" t="e">
        <f>VLOOKUP(Table1[[#This Row],[Employee_ID]],[1]!Table1[[Employee_ID]:[Employee_Name]],2,0)</f>
        <v>#REF!</v>
      </c>
      <c r="J327" s="2" t="b">
        <f>Table1[[#This Row],[Login_Time]]&lt;Table1[[#This Row],[Logout_Time]]</f>
        <v>1</v>
      </c>
    </row>
    <row r="328" spans="1:10" ht="15" customHeight="1">
      <c r="A328" s="2" t="s">
        <v>433</v>
      </c>
      <c r="B328" s="3">
        <v>45677</v>
      </c>
      <c r="C328" s="2" t="s">
        <v>430</v>
      </c>
      <c r="D328" s="2" t="s">
        <v>9</v>
      </c>
      <c r="E328" s="15" t="s">
        <v>80</v>
      </c>
      <c r="F328" s="15" t="s">
        <v>292</v>
      </c>
      <c r="G328" s="2" t="s">
        <v>21</v>
      </c>
      <c r="H328" t="str">
        <f>_xlfn.CONCAT(Table1[[#This Row],[Attendance_ID]],Table1[[#This Row],[Date]],Table1[[#This Row],[Employee_ID]])</f>
        <v>ATT0019945677EMP1033</v>
      </c>
      <c r="I328" s="12" t="e">
        <f>VLOOKUP(Table1[[#This Row],[Employee_ID]],[1]!Table1[[Employee_ID]:[Employee_Name]],2,0)</f>
        <v>#REF!</v>
      </c>
      <c r="J328" s="2" t="b">
        <f>Table1[[#This Row],[Login_Time]]&lt;Table1[[#This Row],[Logout_Time]]</f>
        <v>1</v>
      </c>
    </row>
    <row r="329" spans="1:10" ht="15" customHeight="1">
      <c r="A329" s="2" t="s">
        <v>434</v>
      </c>
      <c r="B329" s="3">
        <v>45727</v>
      </c>
      <c r="C329" s="2" t="s">
        <v>430</v>
      </c>
      <c r="D329" s="2" t="s">
        <v>42</v>
      </c>
      <c r="E329" s="15" t="s">
        <v>80</v>
      </c>
      <c r="F329" s="15" t="s">
        <v>165</v>
      </c>
      <c r="G329" s="2" t="s">
        <v>21</v>
      </c>
      <c r="H329" t="str">
        <f>_xlfn.CONCAT(Table1[[#This Row],[Attendance_ID]],Table1[[#This Row],[Date]],Table1[[#This Row],[Employee_ID]])</f>
        <v>ATT0024945727EMP1033</v>
      </c>
      <c r="I329" s="12" t="e">
        <f>VLOOKUP(Table1[[#This Row],[Employee_ID]],[1]!Table1[[Employee_ID]:[Employee_Name]],2,0)</f>
        <v>#REF!</v>
      </c>
      <c r="J329" s="2" t="b">
        <f>Table1[[#This Row],[Login_Time]]&lt;Table1[[#This Row],[Logout_Time]]</f>
        <v>1</v>
      </c>
    </row>
    <row r="330" spans="1:10" ht="15" hidden="1" customHeight="1">
      <c r="A330" s="2" t="s">
        <v>435</v>
      </c>
      <c r="B330" s="3">
        <v>45716</v>
      </c>
      <c r="C330" s="2" t="s">
        <v>430</v>
      </c>
      <c r="D330" s="2" t="s">
        <v>26</v>
      </c>
      <c r="E330" s="15"/>
      <c r="F330" s="15"/>
      <c r="G330" s="2" t="s">
        <v>11</v>
      </c>
      <c r="H330" t="str">
        <f>_xlfn.CONCAT(Table1[[#This Row],[Attendance_ID]],Table1[[#This Row],[Date]],Table1[[#This Row],[Employee_ID]])</f>
        <v>ATT0029945716EMP1033</v>
      </c>
      <c r="I330" s="12" t="e">
        <f>VLOOKUP(Table1[[#This Row],[Employee_ID]],[1]!Table1[[Employee_ID]:[Employee_Name]],2,0)</f>
        <v>#REF!</v>
      </c>
      <c r="J330" s="2" t="b">
        <f>Table1[[#This Row],[Login_Time]]&lt;Table1[[#This Row],[Logout_Time]]</f>
        <v>0</v>
      </c>
    </row>
    <row r="331" spans="1:10" ht="15" customHeight="1">
      <c r="A331" s="2" t="s">
        <v>436</v>
      </c>
      <c r="B331" s="3">
        <v>45745</v>
      </c>
      <c r="C331" s="2" t="s">
        <v>430</v>
      </c>
      <c r="D331" s="2" t="s">
        <v>9</v>
      </c>
      <c r="E331" s="15" t="s">
        <v>31</v>
      </c>
      <c r="F331" s="15" t="s">
        <v>165</v>
      </c>
      <c r="G331" s="2" t="s">
        <v>21</v>
      </c>
      <c r="H331" t="str">
        <f>_xlfn.CONCAT(Table1[[#This Row],[Attendance_ID]],Table1[[#This Row],[Date]],Table1[[#This Row],[Employee_ID]])</f>
        <v>ATT0034945745EMP1033</v>
      </c>
      <c r="I331" s="12" t="e">
        <f>VLOOKUP(Table1[[#This Row],[Employee_ID]],[1]!Table1[[Employee_ID]:[Employee_Name]],2,0)</f>
        <v>#REF!</v>
      </c>
      <c r="J331" s="2" t="b">
        <f>Table1[[#This Row],[Login_Time]]&lt;Table1[[#This Row],[Logout_Time]]</f>
        <v>1</v>
      </c>
    </row>
    <row r="332" spans="1:10" ht="15" customHeight="1">
      <c r="A332" s="2" t="s">
        <v>437</v>
      </c>
      <c r="B332" s="3">
        <v>45743</v>
      </c>
      <c r="C332" s="2" t="s">
        <v>430</v>
      </c>
      <c r="D332" s="2" t="s">
        <v>9</v>
      </c>
      <c r="E332" s="15" t="s">
        <v>50</v>
      </c>
      <c r="F332" s="15" t="s">
        <v>51</v>
      </c>
      <c r="G332" s="2" t="s">
        <v>21</v>
      </c>
      <c r="H332" t="str">
        <f>_xlfn.CONCAT(Table1[[#This Row],[Attendance_ID]],Table1[[#This Row],[Date]],Table1[[#This Row],[Employee_ID]])</f>
        <v>ATT0039945743EMP1033</v>
      </c>
      <c r="I332" s="12" t="e">
        <f>VLOOKUP(Table1[[#This Row],[Employee_ID]],[1]!Table1[[Employee_ID]:[Employee_Name]],2,0)</f>
        <v>#REF!</v>
      </c>
      <c r="J332" s="2" t="b">
        <f>Table1[[#This Row],[Login_Time]]&lt;Table1[[#This Row],[Logout_Time]]</f>
        <v>1</v>
      </c>
    </row>
    <row r="333" spans="1:10" ht="15" hidden="1" customHeight="1">
      <c r="A333" s="2" t="s">
        <v>438</v>
      </c>
      <c r="B333" s="3">
        <v>45685</v>
      </c>
      <c r="C333" s="2" t="s">
        <v>430</v>
      </c>
      <c r="D333" s="2" t="s">
        <v>26</v>
      </c>
      <c r="E333" s="15"/>
      <c r="F333" s="15"/>
      <c r="G333" s="2" t="s">
        <v>11</v>
      </c>
      <c r="H333" t="str">
        <f>_xlfn.CONCAT(Table1[[#This Row],[Attendance_ID]],Table1[[#This Row],[Date]],Table1[[#This Row],[Employee_ID]])</f>
        <v>ATT0044945685EMP1033</v>
      </c>
      <c r="I333" s="12" t="e">
        <f>VLOOKUP(Table1[[#This Row],[Employee_ID]],[1]!Table1[[Employee_ID]:[Employee_Name]],2,0)</f>
        <v>#REF!</v>
      </c>
      <c r="J333" s="2" t="b">
        <f>Table1[[#This Row],[Login_Time]]&lt;Table1[[#This Row],[Logout_Time]]</f>
        <v>0</v>
      </c>
    </row>
    <row r="334" spans="1:10" ht="15" hidden="1" customHeight="1">
      <c r="A334" s="2" t="s">
        <v>439</v>
      </c>
      <c r="B334" s="3">
        <v>45692</v>
      </c>
      <c r="C334" s="2" t="s">
        <v>430</v>
      </c>
      <c r="D334" s="2" t="s">
        <v>26</v>
      </c>
      <c r="E334" s="15"/>
      <c r="F334" s="15"/>
      <c r="G334" s="2" t="s">
        <v>11</v>
      </c>
      <c r="H334" t="str">
        <f>_xlfn.CONCAT(Table1[[#This Row],[Attendance_ID]],Table1[[#This Row],[Date]],Table1[[#This Row],[Employee_ID]])</f>
        <v>ATT0049945692EMP1033</v>
      </c>
      <c r="I334" s="12" t="e">
        <f>VLOOKUP(Table1[[#This Row],[Employee_ID]],[1]!Table1[[Employee_ID]:[Employee_Name]],2,0)</f>
        <v>#REF!</v>
      </c>
      <c r="J334" s="2" t="b">
        <f>Table1[[#This Row],[Login_Time]]&lt;Table1[[#This Row],[Logout_Time]]</f>
        <v>0</v>
      </c>
    </row>
    <row r="335" spans="1:10" ht="15" customHeight="1">
      <c r="A335" s="2" t="s">
        <v>440</v>
      </c>
      <c r="B335" s="3">
        <v>45671</v>
      </c>
      <c r="C335" s="2" t="s">
        <v>441</v>
      </c>
      <c r="D335" s="2" t="s">
        <v>9</v>
      </c>
      <c r="E335" s="15" t="s">
        <v>53</v>
      </c>
      <c r="F335" s="15" t="s">
        <v>113</v>
      </c>
      <c r="G335" s="2" t="s">
        <v>11</v>
      </c>
      <c r="H335" t="str">
        <f>_xlfn.CONCAT(Table1[[#This Row],[Attendance_ID]],Table1[[#This Row],[Date]],Table1[[#This Row],[Employee_ID]])</f>
        <v>ATT0005045671EMP1034</v>
      </c>
      <c r="I335" s="12" t="e">
        <f>VLOOKUP(Table1[[#This Row],[Employee_ID]],[1]!Table1[[Employee_ID]:[Employee_Name]],2,0)</f>
        <v>#REF!</v>
      </c>
      <c r="J335" s="2" t="b">
        <f>Table1[[#This Row],[Login_Time]]&lt;Table1[[#This Row],[Logout_Time]]</f>
        <v>1</v>
      </c>
    </row>
    <row r="336" spans="1:10" ht="15" customHeight="1">
      <c r="A336" s="2" t="s">
        <v>442</v>
      </c>
      <c r="B336" s="3">
        <v>45658</v>
      </c>
      <c r="C336" s="2" t="s">
        <v>441</v>
      </c>
      <c r="D336" s="2" t="s">
        <v>9</v>
      </c>
      <c r="E336" s="15" t="s">
        <v>149</v>
      </c>
      <c r="F336" s="15" t="s">
        <v>78</v>
      </c>
      <c r="G336" s="2" t="s">
        <v>21</v>
      </c>
      <c r="H336" t="str">
        <f>_xlfn.CONCAT(Table1[[#This Row],[Attendance_ID]],Table1[[#This Row],[Date]],Table1[[#This Row],[Employee_ID]])</f>
        <v>ATT0010045658EMP1034</v>
      </c>
      <c r="I336" s="12" t="e">
        <f>VLOOKUP(Table1[[#This Row],[Employee_ID]],[1]!Table1[[Employee_ID]:[Employee_Name]],2,0)</f>
        <v>#REF!</v>
      </c>
      <c r="J336" s="2" t="b">
        <f>Table1[[#This Row],[Login_Time]]&lt;Table1[[#This Row],[Logout_Time]]</f>
        <v>1</v>
      </c>
    </row>
    <row r="337" spans="1:10" ht="15" hidden="1" customHeight="1">
      <c r="A337" s="2" t="s">
        <v>443</v>
      </c>
      <c r="B337" s="3">
        <v>45733</v>
      </c>
      <c r="C337" s="2" t="s">
        <v>441</v>
      </c>
      <c r="D337" s="2" t="s">
        <v>26</v>
      </c>
      <c r="E337" s="15"/>
      <c r="F337" s="15"/>
      <c r="G337" s="2" t="s">
        <v>11</v>
      </c>
      <c r="H337" t="str">
        <f>_xlfn.CONCAT(Table1[[#This Row],[Attendance_ID]],Table1[[#This Row],[Date]],Table1[[#This Row],[Employee_ID]])</f>
        <v>ATT0015045733EMP1034</v>
      </c>
      <c r="I337" s="12" t="e">
        <f>VLOOKUP(Table1[[#This Row],[Employee_ID]],[1]!Table1[[Employee_ID]:[Employee_Name]],2,0)</f>
        <v>#REF!</v>
      </c>
      <c r="J337" s="2" t="b">
        <f>Table1[[#This Row],[Login_Time]]&lt;Table1[[#This Row],[Logout_Time]]</f>
        <v>0</v>
      </c>
    </row>
    <row r="338" spans="1:10" ht="15" customHeight="1">
      <c r="A338" s="2" t="s">
        <v>444</v>
      </c>
      <c r="B338" s="3">
        <v>45659</v>
      </c>
      <c r="C338" s="2" t="s">
        <v>441</v>
      </c>
      <c r="D338" s="2" t="s">
        <v>9</v>
      </c>
      <c r="E338" s="15" t="s">
        <v>34</v>
      </c>
      <c r="F338" s="15" t="s">
        <v>55</v>
      </c>
      <c r="G338" s="2" t="s">
        <v>21</v>
      </c>
      <c r="H338" t="str">
        <f>_xlfn.CONCAT(Table1[[#This Row],[Attendance_ID]],Table1[[#This Row],[Date]],Table1[[#This Row],[Employee_ID]])</f>
        <v>ATT0020045659EMP1034</v>
      </c>
      <c r="I338" s="12" t="e">
        <f>VLOOKUP(Table1[[#This Row],[Employee_ID]],[1]!Table1[[Employee_ID]:[Employee_Name]],2,0)</f>
        <v>#REF!</v>
      </c>
      <c r="J338" s="2" t="b">
        <f>Table1[[#This Row],[Login_Time]]&lt;Table1[[#This Row],[Logout_Time]]</f>
        <v>1</v>
      </c>
    </row>
    <row r="339" spans="1:10" ht="15" customHeight="1">
      <c r="A339" s="2" t="s">
        <v>445</v>
      </c>
      <c r="B339" s="3">
        <v>45701</v>
      </c>
      <c r="C339" s="2" t="s">
        <v>441</v>
      </c>
      <c r="D339" s="2" t="s">
        <v>9</v>
      </c>
      <c r="E339" s="15" t="s">
        <v>158</v>
      </c>
      <c r="F339" s="15" t="s">
        <v>75</v>
      </c>
      <c r="G339" s="2" t="s">
        <v>11</v>
      </c>
      <c r="H339" t="str">
        <f>_xlfn.CONCAT(Table1[[#This Row],[Attendance_ID]],Table1[[#This Row],[Date]],Table1[[#This Row],[Employee_ID]])</f>
        <v>ATT0025045701EMP1034</v>
      </c>
      <c r="I339" s="12" t="e">
        <f>VLOOKUP(Table1[[#This Row],[Employee_ID]],[1]!Table1[[Employee_ID]:[Employee_Name]],2,0)</f>
        <v>#REF!</v>
      </c>
      <c r="J339" s="2" t="b">
        <f>Table1[[#This Row],[Login_Time]]&lt;Table1[[#This Row],[Logout_Time]]</f>
        <v>1</v>
      </c>
    </row>
    <row r="340" spans="1:10" ht="15" customHeight="1">
      <c r="A340" s="2" t="s">
        <v>446</v>
      </c>
      <c r="B340" s="3">
        <v>45698</v>
      </c>
      <c r="C340" s="2" t="s">
        <v>441</v>
      </c>
      <c r="D340" s="2" t="s">
        <v>42</v>
      </c>
      <c r="E340" s="15" t="s">
        <v>34</v>
      </c>
      <c r="F340" s="15" t="s">
        <v>68</v>
      </c>
      <c r="G340" s="2" t="s">
        <v>21</v>
      </c>
      <c r="H340" t="str">
        <f>_xlfn.CONCAT(Table1[[#This Row],[Attendance_ID]],Table1[[#This Row],[Date]],Table1[[#This Row],[Employee_ID]])</f>
        <v>ATT0030045698EMP1034</v>
      </c>
      <c r="I340" s="12" t="e">
        <f>VLOOKUP(Table1[[#This Row],[Employee_ID]],[1]!Table1[[Employee_ID]:[Employee_Name]],2,0)</f>
        <v>#REF!</v>
      </c>
      <c r="J340" s="2" t="b">
        <f>Table1[[#This Row],[Login_Time]]&lt;Table1[[#This Row],[Logout_Time]]</f>
        <v>1</v>
      </c>
    </row>
    <row r="341" spans="1:10" ht="15" customHeight="1">
      <c r="A341" s="2" t="s">
        <v>447</v>
      </c>
      <c r="B341" s="3">
        <v>45681</v>
      </c>
      <c r="C341" s="2" t="s">
        <v>441</v>
      </c>
      <c r="D341" s="2" t="s">
        <v>9</v>
      </c>
      <c r="E341" s="15" t="s">
        <v>80</v>
      </c>
      <c r="F341" s="15" t="s">
        <v>195</v>
      </c>
      <c r="G341" s="2" t="s">
        <v>21</v>
      </c>
      <c r="H341" t="str">
        <f>_xlfn.CONCAT(Table1[[#This Row],[Attendance_ID]],Table1[[#This Row],[Date]],Table1[[#This Row],[Employee_ID]])</f>
        <v>ATT0035045681EMP1034</v>
      </c>
      <c r="I341" s="12" t="e">
        <f>VLOOKUP(Table1[[#This Row],[Employee_ID]],[1]!Table1[[Employee_ID]:[Employee_Name]],2,0)</f>
        <v>#REF!</v>
      </c>
      <c r="J341" s="2" t="b">
        <f>Table1[[#This Row],[Login_Time]]&lt;Table1[[#This Row],[Logout_Time]]</f>
        <v>1</v>
      </c>
    </row>
    <row r="342" spans="1:10" ht="15" customHeight="1">
      <c r="A342" s="2" t="s">
        <v>448</v>
      </c>
      <c r="B342" s="3">
        <v>45658</v>
      </c>
      <c r="C342" s="2" t="s">
        <v>441</v>
      </c>
      <c r="D342" s="2" t="s">
        <v>9</v>
      </c>
      <c r="E342" s="15" t="s">
        <v>108</v>
      </c>
      <c r="F342" s="15" t="s">
        <v>37</v>
      </c>
      <c r="G342" s="2" t="s">
        <v>11</v>
      </c>
      <c r="H342" t="str">
        <f>_xlfn.CONCAT(Table1[[#This Row],[Attendance_ID]],Table1[[#This Row],[Date]],Table1[[#This Row],[Employee_ID]])</f>
        <v>ATT0040045658EMP1034</v>
      </c>
      <c r="I342" s="12" t="e">
        <f>VLOOKUP(Table1[[#This Row],[Employee_ID]],[1]!Table1[[Employee_ID]:[Employee_Name]],2,0)</f>
        <v>#REF!</v>
      </c>
      <c r="J342" s="2" t="b">
        <f>Table1[[#This Row],[Login_Time]]&lt;Table1[[#This Row],[Logout_Time]]</f>
        <v>1</v>
      </c>
    </row>
    <row r="343" spans="1:10" ht="15" customHeight="1">
      <c r="A343" s="2" t="s">
        <v>449</v>
      </c>
      <c r="B343" s="3">
        <v>45665</v>
      </c>
      <c r="C343" s="2" t="s">
        <v>441</v>
      </c>
      <c r="D343" s="2" t="s">
        <v>9</v>
      </c>
      <c r="E343" s="15" t="s">
        <v>108</v>
      </c>
      <c r="F343" s="15" t="s">
        <v>92</v>
      </c>
      <c r="G343" s="2" t="s">
        <v>11</v>
      </c>
      <c r="H343" t="str">
        <f>_xlfn.CONCAT(Table1[[#This Row],[Attendance_ID]],Table1[[#This Row],[Date]],Table1[[#This Row],[Employee_ID]])</f>
        <v>ATT0045045665EMP1034</v>
      </c>
      <c r="I343" s="12" t="e">
        <f>VLOOKUP(Table1[[#This Row],[Employee_ID]],[1]!Table1[[Employee_ID]:[Employee_Name]],2,0)</f>
        <v>#REF!</v>
      </c>
      <c r="J343" s="2" t="b">
        <f>Table1[[#This Row],[Login_Time]]&lt;Table1[[#This Row],[Logout_Time]]</f>
        <v>1</v>
      </c>
    </row>
    <row r="344" spans="1:10" ht="15" customHeight="1">
      <c r="A344" s="2" t="s">
        <v>450</v>
      </c>
      <c r="B344" s="3">
        <v>45737</v>
      </c>
      <c r="C344" s="2" t="s">
        <v>441</v>
      </c>
      <c r="D344" s="2" t="s">
        <v>9</v>
      </c>
      <c r="E344" s="15" t="s">
        <v>34</v>
      </c>
      <c r="F344" s="15" t="s">
        <v>211</v>
      </c>
      <c r="G344" s="2" t="s">
        <v>21</v>
      </c>
      <c r="H344" t="str">
        <f>_xlfn.CONCAT(Table1[[#This Row],[Attendance_ID]],Table1[[#This Row],[Date]],Table1[[#This Row],[Employee_ID]])</f>
        <v>ATT0050045737EMP1034</v>
      </c>
      <c r="I344" s="12" t="e">
        <f>VLOOKUP(Table1[[#This Row],[Employee_ID]],[1]!Table1[[Employee_ID]:[Employee_Name]],2,0)</f>
        <v>#REF!</v>
      </c>
      <c r="J344" s="2" t="b">
        <f>Table1[[#This Row],[Login_Time]]&lt;Table1[[#This Row],[Logout_Time]]</f>
        <v>1</v>
      </c>
    </row>
    <row r="345" spans="1:10" ht="15" customHeight="1">
      <c r="A345" s="2" t="s">
        <v>451</v>
      </c>
      <c r="B345" s="3">
        <v>45723</v>
      </c>
      <c r="C345" s="2" t="s">
        <v>452</v>
      </c>
      <c r="D345" s="2" t="s">
        <v>9</v>
      </c>
      <c r="E345" s="15" t="s">
        <v>34</v>
      </c>
      <c r="F345" s="15" t="s">
        <v>14</v>
      </c>
      <c r="G345" s="2" t="s">
        <v>453</v>
      </c>
      <c r="H345" t="str">
        <f>_xlfn.CONCAT(Table1[[#This Row],[Attendance_ID]],Table1[[#This Row],[Date]],Table1[[#This Row],[Employee_ID]])</f>
        <v>ATT0000745723EMP1501</v>
      </c>
      <c r="I345" s="12" t="e">
        <f>VLOOKUP(Table1[[#This Row],[Employee_ID]],[1]!Table1[[Employee_ID]:[Employee_Name]],2,0)</f>
        <v>#REF!</v>
      </c>
      <c r="J345" s="2" t="b">
        <f>Table1[[#This Row],[Login_Time]]&lt;Table1[[#This Row],[Logout_Time]]</f>
        <v>1</v>
      </c>
    </row>
    <row r="346" spans="1:10" ht="15" customHeight="1">
      <c r="A346" s="2" t="s">
        <v>454</v>
      </c>
      <c r="B346" s="3">
        <v>45738</v>
      </c>
      <c r="C346" s="2" t="s">
        <v>452</v>
      </c>
      <c r="D346" s="2" t="s">
        <v>9</v>
      </c>
      <c r="E346" s="15" t="s">
        <v>158</v>
      </c>
      <c r="F346" s="15" t="s">
        <v>35</v>
      </c>
      <c r="G346" s="2" t="s">
        <v>11</v>
      </c>
      <c r="H346" t="str">
        <f>_xlfn.CONCAT(Table1[[#This Row],[Attendance_ID]],Table1[[#This Row],[Date]],Table1[[#This Row],[Employee_ID]])</f>
        <v>ATT0005745738EMP1501</v>
      </c>
      <c r="I346" s="12" t="e">
        <f>VLOOKUP(Table1[[#This Row],[Employee_ID]],[1]!Table1[[Employee_ID]:[Employee_Name]],2,0)</f>
        <v>#REF!</v>
      </c>
      <c r="J346" s="2" t="b">
        <f>Table1[[#This Row],[Login_Time]]&lt;Table1[[#This Row],[Logout_Time]]</f>
        <v>1</v>
      </c>
    </row>
    <row r="347" spans="1:10" ht="15" hidden="1" customHeight="1">
      <c r="A347" s="2" t="s">
        <v>455</v>
      </c>
      <c r="B347" s="3">
        <v>45691</v>
      </c>
      <c r="C347" s="2" t="s">
        <v>452</v>
      </c>
      <c r="D347" s="2" t="s">
        <v>26</v>
      </c>
      <c r="E347" s="15"/>
      <c r="F347" s="15"/>
      <c r="G347" s="2" t="s">
        <v>11</v>
      </c>
      <c r="H347" t="str">
        <f>_xlfn.CONCAT(Table1[[#This Row],[Attendance_ID]],Table1[[#This Row],[Date]],Table1[[#This Row],[Employee_ID]])</f>
        <v>ATT0010745691EMP1501</v>
      </c>
      <c r="I347" s="12" t="e">
        <f>VLOOKUP(Table1[[#This Row],[Employee_ID]],[1]!Table1[[Employee_ID]:[Employee_Name]],2,0)</f>
        <v>#REF!</v>
      </c>
      <c r="J347" s="2" t="b">
        <f>Table1[[#This Row],[Login_Time]]&lt;Table1[[#This Row],[Logout_Time]]</f>
        <v>0</v>
      </c>
    </row>
    <row r="348" spans="1:10" ht="15" customHeight="1">
      <c r="A348" s="2" t="s">
        <v>456</v>
      </c>
      <c r="B348" s="3">
        <v>45660</v>
      </c>
      <c r="C348" s="2" t="s">
        <v>452</v>
      </c>
      <c r="D348" s="2" t="s">
        <v>9</v>
      </c>
      <c r="E348" s="15" t="s">
        <v>23</v>
      </c>
      <c r="F348" s="15" t="s">
        <v>122</v>
      </c>
      <c r="G348" s="2" t="s">
        <v>11</v>
      </c>
      <c r="H348" t="str">
        <f>_xlfn.CONCAT(Table1[[#This Row],[Attendance_ID]],Table1[[#This Row],[Date]],Table1[[#This Row],[Employee_ID]])</f>
        <v>ATT0015745660EMP1501</v>
      </c>
      <c r="I348" s="12" t="e">
        <f>VLOOKUP(Table1[[#This Row],[Employee_ID]],[1]!Table1[[Employee_ID]:[Employee_Name]],2,0)</f>
        <v>#REF!</v>
      </c>
      <c r="J348" s="2" t="b">
        <f>Table1[[#This Row],[Login_Time]]&lt;Table1[[#This Row],[Logout_Time]]</f>
        <v>1</v>
      </c>
    </row>
    <row r="349" spans="1:10" ht="15" customHeight="1">
      <c r="A349" s="2" t="s">
        <v>457</v>
      </c>
      <c r="B349" s="3">
        <v>45734</v>
      </c>
      <c r="C349" s="2" t="s">
        <v>452</v>
      </c>
      <c r="D349" s="2" t="s">
        <v>42</v>
      </c>
      <c r="E349" s="15" t="s">
        <v>80</v>
      </c>
      <c r="F349" s="15" t="s">
        <v>55</v>
      </c>
      <c r="G349" s="2" t="s">
        <v>21</v>
      </c>
      <c r="H349" t="str">
        <f>_xlfn.CONCAT(Table1[[#This Row],[Attendance_ID]],Table1[[#This Row],[Date]],Table1[[#This Row],[Employee_ID]])</f>
        <v>ATT0020745734EMP1501</v>
      </c>
      <c r="I349" s="12" t="e">
        <f>VLOOKUP(Table1[[#This Row],[Employee_ID]],[1]!Table1[[Employee_ID]:[Employee_Name]],2,0)</f>
        <v>#REF!</v>
      </c>
      <c r="J349" s="2" t="b">
        <f>Table1[[#This Row],[Login_Time]]&lt;Table1[[#This Row],[Logout_Time]]</f>
        <v>1</v>
      </c>
    </row>
    <row r="350" spans="1:10" ht="15" hidden="1" customHeight="1">
      <c r="A350" s="2" t="s">
        <v>458</v>
      </c>
      <c r="B350" s="3">
        <v>45698</v>
      </c>
      <c r="C350" s="2" t="s">
        <v>452</v>
      </c>
      <c r="D350" s="2" t="s">
        <v>70</v>
      </c>
      <c r="E350" s="15"/>
      <c r="F350" s="15"/>
      <c r="G350" s="2" t="s">
        <v>11</v>
      </c>
      <c r="H350" t="str">
        <f>_xlfn.CONCAT(Table1[[#This Row],[Attendance_ID]],Table1[[#This Row],[Date]],Table1[[#This Row],[Employee_ID]])</f>
        <v>ATT0025745698EMP1501</v>
      </c>
      <c r="I350" s="12" t="e">
        <f>VLOOKUP(Table1[[#This Row],[Employee_ID]],[1]!Table1[[Employee_ID]:[Employee_Name]],2,0)</f>
        <v>#REF!</v>
      </c>
      <c r="J350" s="2" t="b">
        <f>Table1[[#This Row],[Login_Time]]&lt;Table1[[#This Row],[Logout_Time]]</f>
        <v>0</v>
      </c>
    </row>
    <row r="351" spans="1:10" ht="15" customHeight="1">
      <c r="A351" s="2" t="s">
        <v>459</v>
      </c>
      <c r="B351" s="3">
        <v>45681</v>
      </c>
      <c r="C351" s="2" t="s">
        <v>452</v>
      </c>
      <c r="D351" s="2" t="s">
        <v>9</v>
      </c>
      <c r="E351" s="15" t="s">
        <v>13</v>
      </c>
      <c r="F351" s="15" t="s">
        <v>106</v>
      </c>
      <c r="G351" s="2" t="s">
        <v>11</v>
      </c>
      <c r="H351" t="str">
        <f>_xlfn.CONCAT(Table1[[#This Row],[Attendance_ID]],Table1[[#This Row],[Date]],Table1[[#This Row],[Employee_ID]])</f>
        <v>ATT0030745681EMP1501</v>
      </c>
      <c r="I351" s="12" t="e">
        <f>VLOOKUP(Table1[[#This Row],[Employee_ID]],[1]!Table1[[Employee_ID]:[Employee_Name]],2,0)</f>
        <v>#REF!</v>
      </c>
      <c r="J351" s="2" t="b">
        <f>Table1[[#This Row],[Login_Time]]&lt;Table1[[#This Row],[Logout_Time]]</f>
        <v>1</v>
      </c>
    </row>
    <row r="352" spans="1:10" ht="15" customHeight="1">
      <c r="A352" s="2" t="s">
        <v>460</v>
      </c>
      <c r="B352" s="3">
        <v>45690</v>
      </c>
      <c r="C352" s="2" t="s">
        <v>452</v>
      </c>
      <c r="D352" s="2" t="s">
        <v>9</v>
      </c>
      <c r="E352" s="15" t="s">
        <v>19</v>
      </c>
      <c r="F352" s="15" t="s">
        <v>113</v>
      </c>
      <c r="G352" s="2" t="s">
        <v>21</v>
      </c>
      <c r="H352" t="str">
        <f>_xlfn.CONCAT(Table1[[#This Row],[Attendance_ID]],Table1[[#This Row],[Date]],Table1[[#This Row],[Employee_ID]])</f>
        <v>ATT0035745690EMP1501</v>
      </c>
      <c r="I352" s="12" t="e">
        <f>VLOOKUP(Table1[[#This Row],[Employee_ID]],[1]!Table1[[Employee_ID]:[Employee_Name]],2,0)</f>
        <v>#REF!</v>
      </c>
      <c r="J352" s="2" t="b">
        <f>Table1[[#This Row],[Login_Time]]&lt;Table1[[#This Row],[Logout_Time]]</f>
        <v>1</v>
      </c>
    </row>
    <row r="353" spans="1:10" ht="15" customHeight="1">
      <c r="A353" s="2" t="s">
        <v>461</v>
      </c>
      <c r="B353" s="3">
        <v>45701</v>
      </c>
      <c r="C353" s="2" t="s">
        <v>452</v>
      </c>
      <c r="D353" s="2" t="s">
        <v>9</v>
      </c>
      <c r="E353" s="15" t="s">
        <v>61</v>
      </c>
      <c r="F353" s="15" t="s">
        <v>191</v>
      </c>
      <c r="G353" s="2" t="s">
        <v>21</v>
      </c>
      <c r="H353" t="str">
        <f>_xlfn.CONCAT(Table1[[#This Row],[Attendance_ID]],Table1[[#This Row],[Date]],Table1[[#This Row],[Employee_ID]])</f>
        <v>ATT0040745701EMP1501</v>
      </c>
      <c r="I353" s="12" t="e">
        <f>VLOOKUP(Table1[[#This Row],[Employee_ID]],[1]!Table1[[Employee_ID]:[Employee_Name]],2,0)</f>
        <v>#REF!</v>
      </c>
      <c r="J353" s="2" t="b">
        <f>Table1[[#This Row],[Login_Time]]&lt;Table1[[#This Row],[Logout_Time]]</f>
        <v>1</v>
      </c>
    </row>
    <row r="354" spans="1:10" ht="15" hidden="1" customHeight="1">
      <c r="A354" s="2" t="s">
        <v>462</v>
      </c>
      <c r="B354" s="3">
        <v>45706</v>
      </c>
      <c r="C354" s="2" t="s">
        <v>452</v>
      </c>
      <c r="D354" s="2" t="s">
        <v>26</v>
      </c>
      <c r="E354" s="15"/>
      <c r="F354" s="15"/>
      <c r="G354" s="2" t="s">
        <v>11</v>
      </c>
      <c r="H354" t="str">
        <f>_xlfn.CONCAT(Table1[[#This Row],[Attendance_ID]],Table1[[#This Row],[Date]],Table1[[#This Row],[Employee_ID]])</f>
        <v>ATT0045745706EMP1501</v>
      </c>
      <c r="I354" s="12" t="e">
        <f>VLOOKUP(Table1[[#This Row],[Employee_ID]],[1]!Table1[[Employee_ID]:[Employee_Name]],2,0)</f>
        <v>#REF!</v>
      </c>
      <c r="J354" s="2" t="b">
        <f>Table1[[#This Row],[Login_Time]]&lt;Table1[[#This Row],[Logout_Time]]</f>
        <v>0</v>
      </c>
    </row>
    <row r="355" spans="1:10" ht="15" customHeight="1">
      <c r="A355" s="2" t="s">
        <v>463</v>
      </c>
      <c r="B355" s="3">
        <v>45697</v>
      </c>
      <c r="C355" s="2" t="s">
        <v>464</v>
      </c>
      <c r="D355" s="2" t="s">
        <v>42</v>
      </c>
      <c r="E355" s="15" t="s">
        <v>80</v>
      </c>
      <c r="F355" s="15" t="s">
        <v>75</v>
      </c>
      <c r="G355" s="2">
        <v>1</v>
      </c>
      <c r="H355" t="str">
        <f>_xlfn.CONCAT(Table1[[#This Row],[Attendance_ID]],Table1[[#This Row],[Date]],Table1[[#This Row],[Employee_ID]])</f>
        <v>ATT0000845697EMP1502</v>
      </c>
      <c r="I355" s="12" t="e">
        <f>VLOOKUP(Table1[[#This Row],[Employee_ID]],[1]!Table1[[Employee_ID]:[Employee_Name]],2,0)</f>
        <v>#REF!</v>
      </c>
      <c r="J355" s="2" t="b">
        <f>Table1[[#This Row],[Login_Time]]&lt;Table1[[#This Row],[Logout_Time]]</f>
        <v>1</v>
      </c>
    </row>
    <row r="356" spans="1:10" ht="15" customHeight="1">
      <c r="A356" s="2" t="s">
        <v>465</v>
      </c>
      <c r="B356" s="3">
        <v>45692</v>
      </c>
      <c r="C356" s="2" t="s">
        <v>464</v>
      </c>
      <c r="D356" s="2" t="s">
        <v>9</v>
      </c>
      <c r="E356" s="15" t="s">
        <v>80</v>
      </c>
      <c r="F356" s="15" t="s">
        <v>37</v>
      </c>
      <c r="G356" s="2" t="s">
        <v>21</v>
      </c>
      <c r="H356" t="str">
        <f>_xlfn.CONCAT(Table1[[#This Row],[Attendance_ID]],Table1[[#This Row],[Date]],Table1[[#This Row],[Employee_ID]])</f>
        <v>ATT0005845692EMP1502</v>
      </c>
      <c r="I356" s="12" t="e">
        <f>VLOOKUP(Table1[[#This Row],[Employee_ID]],[1]!Table1[[Employee_ID]:[Employee_Name]],2,0)</f>
        <v>#REF!</v>
      </c>
      <c r="J356" s="2" t="b">
        <f>Table1[[#This Row],[Login_Time]]&lt;Table1[[#This Row],[Logout_Time]]</f>
        <v>1</v>
      </c>
    </row>
    <row r="357" spans="1:10" ht="15" hidden="1" customHeight="1">
      <c r="A357" s="2" t="s">
        <v>466</v>
      </c>
      <c r="B357" s="3">
        <v>45690</v>
      </c>
      <c r="C357" s="2" t="s">
        <v>464</v>
      </c>
      <c r="D357" s="2" t="s">
        <v>70</v>
      </c>
      <c r="E357" s="15"/>
      <c r="F357" s="15"/>
      <c r="G357" s="2" t="s">
        <v>11</v>
      </c>
      <c r="H357" t="str">
        <f>_xlfn.CONCAT(Table1[[#This Row],[Attendance_ID]],Table1[[#This Row],[Date]],Table1[[#This Row],[Employee_ID]])</f>
        <v>ATT0010845690EMP1502</v>
      </c>
      <c r="I357" s="12" t="e">
        <f>VLOOKUP(Table1[[#This Row],[Employee_ID]],[1]!Table1[[Employee_ID]:[Employee_Name]],2,0)</f>
        <v>#REF!</v>
      </c>
      <c r="J357" s="2" t="b">
        <f>Table1[[#This Row],[Login_Time]]&lt;Table1[[#This Row],[Logout_Time]]</f>
        <v>0</v>
      </c>
    </row>
    <row r="358" spans="1:10" ht="15" customHeight="1">
      <c r="A358" s="2" t="s">
        <v>467</v>
      </c>
      <c r="B358" s="3">
        <v>45705</v>
      </c>
      <c r="C358" s="2" t="s">
        <v>464</v>
      </c>
      <c r="D358" s="2" t="s">
        <v>42</v>
      </c>
      <c r="E358" s="15" t="s">
        <v>50</v>
      </c>
      <c r="F358" s="15" t="s">
        <v>78</v>
      </c>
      <c r="G358" s="2" t="s">
        <v>21</v>
      </c>
      <c r="H358" t="str">
        <f>_xlfn.CONCAT(Table1[[#This Row],[Attendance_ID]],Table1[[#This Row],[Date]],Table1[[#This Row],[Employee_ID]])</f>
        <v>ATT0015845705EMP1502</v>
      </c>
      <c r="I358" s="12" t="e">
        <f>VLOOKUP(Table1[[#This Row],[Employee_ID]],[1]!Table1[[Employee_ID]:[Employee_Name]],2,0)</f>
        <v>#REF!</v>
      </c>
      <c r="J358" s="2" t="b">
        <f>Table1[[#This Row],[Login_Time]]&lt;Table1[[#This Row],[Logout_Time]]</f>
        <v>1</v>
      </c>
    </row>
    <row r="359" spans="1:10" ht="15" customHeight="1">
      <c r="A359" s="2" t="s">
        <v>468</v>
      </c>
      <c r="B359" s="3">
        <v>45674</v>
      </c>
      <c r="C359" s="2" t="s">
        <v>464</v>
      </c>
      <c r="D359" s="2" t="s">
        <v>9</v>
      </c>
      <c r="E359" s="15" t="s">
        <v>158</v>
      </c>
      <c r="F359" s="15" t="s">
        <v>168</v>
      </c>
      <c r="G359" s="2" t="s">
        <v>11</v>
      </c>
      <c r="H359" t="str">
        <f>_xlfn.CONCAT(Table1[[#This Row],[Attendance_ID]],Table1[[#This Row],[Date]],Table1[[#This Row],[Employee_ID]])</f>
        <v>ATT0020845674EMP1502</v>
      </c>
      <c r="I359" s="12" t="e">
        <f>VLOOKUP(Table1[[#This Row],[Employee_ID]],[1]!Table1[[Employee_ID]:[Employee_Name]],2,0)</f>
        <v>#REF!</v>
      </c>
      <c r="J359" s="2" t="b">
        <f>Table1[[#This Row],[Login_Time]]&lt;Table1[[#This Row],[Logout_Time]]</f>
        <v>1</v>
      </c>
    </row>
    <row r="360" spans="1:10" ht="15" hidden="1" customHeight="1">
      <c r="A360" s="2" t="s">
        <v>469</v>
      </c>
      <c r="B360" s="3">
        <v>45740</v>
      </c>
      <c r="C360" s="2" t="s">
        <v>464</v>
      </c>
      <c r="D360" s="2" t="s">
        <v>70</v>
      </c>
      <c r="E360" s="15"/>
      <c r="F360" s="15"/>
      <c r="G360" s="2" t="s">
        <v>11</v>
      </c>
      <c r="H360" t="str">
        <f>_xlfn.CONCAT(Table1[[#This Row],[Attendance_ID]],Table1[[#This Row],[Date]],Table1[[#This Row],[Employee_ID]])</f>
        <v>ATT0025845740EMP1502</v>
      </c>
      <c r="I360" s="12" t="e">
        <f>VLOOKUP(Table1[[#This Row],[Employee_ID]],[1]!Table1[[Employee_ID]:[Employee_Name]],2,0)</f>
        <v>#REF!</v>
      </c>
      <c r="J360" s="2" t="b">
        <f>Table1[[#This Row],[Login_Time]]&lt;Table1[[#This Row],[Logout_Time]]</f>
        <v>0</v>
      </c>
    </row>
    <row r="361" spans="1:10" ht="15" customHeight="1">
      <c r="A361" s="2" t="s">
        <v>470</v>
      </c>
      <c r="B361" s="3">
        <v>45745</v>
      </c>
      <c r="C361" s="2" t="s">
        <v>464</v>
      </c>
      <c r="D361" s="2" t="s">
        <v>9</v>
      </c>
      <c r="E361" s="15" t="s">
        <v>105</v>
      </c>
      <c r="F361" s="15" t="s">
        <v>165</v>
      </c>
      <c r="G361" s="2" t="s">
        <v>21</v>
      </c>
      <c r="H361" t="str">
        <f>_xlfn.CONCAT(Table1[[#This Row],[Attendance_ID]],Table1[[#This Row],[Date]],Table1[[#This Row],[Employee_ID]])</f>
        <v>ATT0030845745EMP1502</v>
      </c>
      <c r="I361" s="12" t="e">
        <f>VLOOKUP(Table1[[#This Row],[Employee_ID]],[1]!Table1[[Employee_ID]:[Employee_Name]],2,0)</f>
        <v>#REF!</v>
      </c>
      <c r="J361" s="2" t="b">
        <f>Table1[[#This Row],[Login_Time]]&lt;Table1[[#This Row],[Logout_Time]]</f>
        <v>1</v>
      </c>
    </row>
    <row r="362" spans="1:10" ht="15" hidden="1" customHeight="1">
      <c r="A362" s="2" t="s">
        <v>471</v>
      </c>
      <c r="B362" s="3">
        <v>45663</v>
      </c>
      <c r="C362" s="2" t="s">
        <v>464</v>
      </c>
      <c r="D362" s="2" t="s">
        <v>26</v>
      </c>
      <c r="E362" s="15"/>
      <c r="F362" s="15"/>
      <c r="G362" s="2" t="s">
        <v>11</v>
      </c>
      <c r="H362" t="str">
        <f>_xlfn.CONCAT(Table1[[#This Row],[Attendance_ID]],Table1[[#This Row],[Date]],Table1[[#This Row],[Employee_ID]])</f>
        <v>ATT0035845663EMP1502</v>
      </c>
      <c r="I362" s="12" t="e">
        <f>VLOOKUP(Table1[[#This Row],[Employee_ID]],[1]!Table1[[Employee_ID]:[Employee_Name]],2,0)</f>
        <v>#REF!</v>
      </c>
      <c r="J362" s="2" t="b">
        <f>Table1[[#This Row],[Login_Time]]&lt;Table1[[#This Row],[Logout_Time]]</f>
        <v>0</v>
      </c>
    </row>
    <row r="363" spans="1:10" ht="15" customHeight="1">
      <c r="A363" s="2" t="s">
        <v>472</v>
      </c>
      <c r="B363" s="3">
        <v>45726</v>
      </c>
      <c r="C363" s="2" t="s">
        <v>464</v>
      </c>
      <c r="D363" s="2" t="s">
        <v>9</v>
      </c>
      <c r="E363" s="15" t="s">
        <v>226</v>
      </c>
      <c r="F363" s="15" t="s">
        <v>48</v>
      </c>
      <c r="G363" s="2" t="s">
        <v>11</v>
      </c>
      <c r="H363" t="str">
        <f>_xlfn.CONCAT(Table1[[#This Row],[Attendance_ID]],Table1[[#This Row],[Date]],Table1[[#This Row],[Employee_ID]])</f>
        <v>ATT0040845726EMP1502</v>
      </c>
      <c r="I363" s="12" t="e">
        <f>VLOOKUP(Table1[[#This Row],[Employee_ID]],[1]!Table1[[Employee_ID]:[Employee_Name]],2,0)</f>
        <v>#REF!</v>
      </c>
      <c r="J363" s="2" t="b">
        <f>Table1[[#This Row],[Login_Time]]&lt;Table1[[#This Row],[Logout_Time]]</f>
        <v>1</v>
      </c>
    </row>
    <row r="364" spans="1:10" ht="15" customHeight="1">
      <c r="A364" s="2" t="s">
        <v>473</v>
      </c>
      <c r="B364" s="3">
        <v>45691</v>
      </c>
      <c r="C364" s="2" t="s">
        <v>464</v>
      </c>
      <c r="D364" s="2" t="s">
        <v>42</v>
      </c>
      <c r="E364" s="15" t="s">
        <v>28</v>
      </c>
      <c r="F364" s="15" t="s">
        <v>66</v>
      </c>
      <c r="G364" s="2" t="s">
        <v>21</v>
      </c>
      <c r="H364" t="str">
        <f>_xlfn.CONCAT(Table1[[#This Row],[Attendance_ID]],Table1[[#This Row],[Date]],Table1[[#This Row],[Employee_ID]])</f>
        <v>ATT0045845691EMP1502</v>
      </c>
      <c r="I364" s="12" t="e">
        <f>VLOOKUP(Table1[[#This Row],[Employee_ID]],[1]!Table1[[Employee_ID]:[Employee_Name]],2,0)</f>
        <v>#REF!</v>
      </c>
      <c r="J364" s="2" t="b">
        <f>Table1[[#This Row],[Login_Time]]&lt;Table1[[#This Row],[Logout_Time]]</f>
        <v>1</v>
      </c>
    </row>
    <row r="365" spans="1:10" ht="15" customHeight="1">
      <c r="A365" s="2" t="s">
        <v>474</v>
      </c>
      <c r="B365" s="3">
        <v>45744</v>
      </c>
      <c r="C365" s="2" t="s">
        <v>475</v>
      </c>
      <c r="D365" s="2" t="s">
        <v>9</v>
      </c>
      <c r="E365" s="15" t="s">
        <v>59</v>
      </c>
      <c r="F365" s="15" t="s">
        <v>20</v>
      </c>
      <c r="G365" s="2">
        <v>0</v>
      </c>
      <c r="H365" t="str">
        <f>_xlfn.CONCAT(Table1[[#This Row],[Attendance_ID]],Table1[[#This Row],[Date]],Table1[[#This Row],[Employee_ID]])</f>
        <v>ATT0000945744EMP1503</v>
      </c>
      <c r="I365" s="12" t="e">
        <f>VLOOKUP(Table1[[#This Row],[Employee_ID]],[1]!Table1[[Employee_ID]:[Employee_Name]],2,0)</f>
        <v>#REF!</v>
      </c>
      <c r="J365" s="2" t="b">
        <f>Table1[[#This Row],[Login_Time]]&lt;Table1[[#This Row],[Logout_Time]]</f>
        <v>1</v>
      </c>
    </row>
    <row r="366" spans="1:10" ht="15" customHeight="1">
      <c r="A366" s="2" t="s">
        <v>476</v>
      </c>
      <c r="B366" s="3">
        <v>45724</v>
      </c>
      <c r="C366" s="2" t="s">
        <v>475</v>
      </c>
      <c r="D366" s="2" t="s">
        <v>9</v>
      </c>
      <c r="E366" s="15" t="s">
        <v>149</v>
      </c>
      <c r="F366" s="15" t="s">
        <v>101</v>
      </c>
      <c r="G366" s="2" t="s">
        <v>21</v>
      </c>
      <c r="H366" t="str">
        <f>_xlfn.CONCAT(Table1[[#This Row],[Attendance_ID]],Table1[[#This Row],[Date]],Table1[[#This Row],[Employee_ID]])</f>
        <v>ATT0005945724EMP1503</v>
      </c>
      <c r="I366" s="12" t="e">
        <f>VLOOKUP(Table1[[#This Row],[Employee_ID]],[1]!Table1[[Employee_ID]:[Employee_Name]],2,0)</f>
        <v>#REF!</v>
      </c>
      <c r="J366" s="2" t="b">
        <f>Table1[[#This Row],[Login_Time]]&lt;Table1[[#This Row],[Logout_Time]]</f>
        <v>1</v>
      </c>
    </row>
    <row r="367" spans="1:10" ht="15" hidden="1" customHeight="1">
      <c r="A367" s="2" t="s">
        <v>477</v>
      </c>
      <c r="B367" s="3">
        <v>45659</v>
      </c>
      <c r="C367" s="2" t="s">
        <v>475</v>
      </c>
      <c r="D367" s="2" t="s">
        <v>70</v>
      </c>
      <c r="E367" s="15"/>
      <c r="F367" s="15"/>
      <c r="G367" s="2" t="s">
        <v>11</v>
      </c>
      <c r="H367" t="str">
        <f>_xlfn.CONCAT(Table1[[#This Row],[Attendance_ID]],Table1[[#This Row],[Date]],Table1[[#This Row],[Employee_ID]])</f>
        <v>ATT0010945659EMP1503</v>
      </c>
      <c r="I367" s="12" t="e">
        <f>VLOOKUP(Table1[[#This Row],[Employee_ID]],[1]!Table1[[Employee_ID]:[Employee_Name]],2,0)</f>
        <v>#REF!</v>
      </c>
      <c r="J367" s="2" t="b">
        <f>Table1[[#This Row],[Login_Time]]&lt;Table1[[#This Row],[Logout_Time]]</f>
        <v>0</v>
      </c>
    </row>
    <row r="368" spans="1:10" ht="15" hidden="1" customHeight="1">
      <c r="A368" s="2" t="s">
        <v>478</v>
      </c>
      <c r="B368" s="3">
        <v>45668</v>
      </c>
      <c r="C368" s="2" t="s">
        <v>475</v>
      </c>
      <c r="D368" s="2" t="s">
        <v>26</v>
      </c>
      <c r="E368" s="15"/>
      <c r="F368" s="15"/>
      <c r="G368" s="2" t="s">
        <v>11</v>
      </c>
      <c r="H368" t="str">
        <f>_xlfn.CONCAT(Table1[[#This Row],[Attendance_ID]],Table1[[#This Row],[Date]],Table1[[#This Row],[Employee_ID]])</f>
        <v>ATT0015945668EMP1503</v>
      </c>
      <c r="I368" s="12" t="e">
        <f>VLOOKUP(Table1[[#This Row],[Employee_ID]],[1]!Table1[[Employee_ID]:[Employee_Name]],2,0)</f>
        <v>#REF!</v>
      </c>
      <c r="J368" s="2" t="b">
        <f>Table1[[#This Row],[Login_Time]]&lt;Table1[[#This Row],[Logout_Time]]</f>
        <v>0</v>
      </c>
    </row>
    <row r="369" spans="1:10" ht="15" customHeight="1">
      <c r="A369" s="2" t="s">
        <v>479</v>
      </c>
      <c r="B369" s="3">
        <v>45695</v>
      </c>
      <c r="C369" s="2" t="s">
        <v>475</v>
      </c>
      <c r="D369" s="2" t="s">
        <v>9</v>
      </c>
      <c r="E369" s="15" t="s">
        <v>43</v>
      </c>
      <c r="F369" s="15" t="s">
        <v>29</v>
      </c>
      <c r="G369" s="2" t="s">
        <v>21</v>
      </c>
      <c r="H369" t="str">
        <f>_xlfn.CONCAT(Table1[[#This Row],[Attendance_ID]],Table1[[#This Row],[Date]],Table1[[#This Row],[Employee_ID]])</f>
        <v>ATT0020945695EMP1503</v>
      </c>
      <c r="I369" s="12" t="e">
        <f>VLOOKUP(Table1[[#This Row],[Employee_ID]],[1]!Table1[[Employee_ID]:[Employee_Name]],2,0)</f>
        <v>#REF!</v>
      </c>
      <c r="J369" s="2" t="b">
        <f>Table1[[#This Row],[Login_Time]]&lt;Table1[[#This Row],[Logout_Time]]</f>
        <v>1</v>
      </c>
    </row>
    <row r="370" spans="1:10" ht="15" hidden="1" customHeight="1">
      <c r="A370" s="2" t="s">
        <v>480</v>
      </c>
      <c r="B370" s="3">
        <v>45706</v>
      </c>
      <c r="C370" s="2" t="s">
        <v>475</v>
      </c>
      <c r="D370" s="2" t="s">
        <v>70</v>
      </c>
      <c r="E370" s="15"/>
      <c r="F370" s="15"/>
      <c r="G370" s="2" t="s">
        <v>11</v>
      </c>
      <c r="H370" t="str">
        <f>_xlfn.CONCAT(Table1[[#This Row],[Attendance_ID]],Table1[[#This Row],[Date]],Table1[[#This Row],[Employee_ID]])</f>
        <v>ATT0025945706EMP1503</v>
      </c>
      <c r="I370" s="12" t="e">
        <f>VLOOKUP(Table1[[#This Row],[Employee_ID]],[1]!Table1[[Employee_ID]:[Employee_Name]],2,0)</f>
        <v>#REF!</v>
      </c>
      <c r="J370" s="2" t="b">
        <f>Table1[[#This Row],[Login_Time]]&lt;Table1[[#This Row],[Logout_Time]]</f>
        <v>0</v>
      </c>
    </row>
    <row r="371" spans="1:10" ht="15" hidden="1" customHeight="1">
      <c r="A371" s="2" t="s">
        <v>481</v>
      </c>
      <c r="B371" s="3">
        <v>45706</v>
      </c>
      <c r="C371" s="2" t="s">
        <v>475</v>
      </c>
      <c r="D371" s="2" t="s">
        <v>26</v>
      </c>
      <c r="E371" s="15"/>
      <c r="F371" s="15"/>
      <c r="G371" s="2" t="s">
        <v>11</v>
      </c>
      <c r="H371" t="str">
        <f>_xlfn.CONCAT(Table1[[#This Row],[Attendance_ID]],Table1[[#This Row],[Date]],Table1[[#This Row],[Employee_ID]])</f>
        <v>ATT0030945706EMP1503</v>
      </c>
      <c r="I371" s="12" t="e">
        <f>VLOOKUP(Table1[[#This Row],[Employee_ID]],[1]!Table1[[Employee_ID]:[Employee_Name]],2,0)</f>
        <v>#REF!</v>
      </c>
      <c r="J371" s="2" t="b">
        <f>Table1[[#This Row],[Login_Time]]&lt;Table1[[#This Row],[Logout_Time]]</f>
        <v>0</v>
      </c>
    </row>
    <row r="372" spans="1:10" ht="15" customHeight="1">
      <c r="A372" s="2" t="s">
        <v>482</v>
      </c>
      <c r="B372" s="3">
        <v>45745</v>
      </c>
      <c r="C372" s="2" t="s">
        <v>475</v>
      </c>
      <c r="D372" s="2" t="s">
        <v>42</v>
      </c>
      <c r="E372" s="15" t="s">
        <v>89</v>
      </c>
      <c r="F372" s="15" t="s">
        <v>106</v>
      </c>
      <c r="G372" s="2" t="s">
        <v>21</v>
      </c>
      <c r="H372" t="str">
        <f>_xlfn.CONCAT(Table1[[#This Row],[Attendance_ID]],Table1[[#This Row],[Date]],Table1[[#This Row],[Employee_ID]])</f>
        <v>ATT0035945745EMP1503</v>
      </c>
      <c r="I372" s="12" t="e">
        <f>VLOOKUP(Table1[[#This Row],[Employee_ID]],[1]!Table1[[Employee_ID]:[Employee_Name]],2,0)</f>
        <v>#REF!</v>
      </c>
      <c r="J372" s="2" t="b">
        <f>Table1[[#This Row],[Login_Time]]&lt;Table1[[#This Row],[Logout_Time]]</f>
        <v>1</v>
      </c>
    </row>
    <row r="373" spans="1:10" ht="15" hidden="1" customHeight="1">
      <c r="A373" s="2" t="s">
        <v>483</v>
      </c>
      <c r="B373" s="3">
        <v>45681</v>
      </c>
      <c r="C373" s="2" t="s">
        <v>475</v>
      </c>
      <c r="D373" s="2" t="s">
        <v>70</v>
      </c>
      <c r="E373" s="15"/>
      <c r="F373" s="15"/>
      <c r="G373" s="2" t="s">
        <v>11</v>
      </c>
      <c r="H373" t="str">
        <f>_xlfn.CONCAT(Table1[[#This Row],[Attendance_ID]],Table1[[#This Row],[Date]],Table1[[#This Row],[Employee_ID]])</f>
        <v>ATT0040945681EMP1503</v>
      </c>
      <c r="I373" s="12" t="e">
        <f>VLOOKUP(Table1[[#This Row],[Employee_ID]],[1]!Table1[[Employee_ID]:[Employee_Name]],2,0)</f>
        <v>#REF!</v>
      </c>
      <c r="J373" s="2" t="b">
        <f>Table1[[#This Row],[Login_Time]]&lt;Table1[[#This Row],[Logout_Time]]</f>
        <v>0</v>
      </c>
    </row>
    <row r="374" spans="1:10" ht="15" customHeight="1">
      <c r="A374" s="2" t="s">
        <v>484</v>
      </c>
      <c r="B374" s="3">
        <v>45707</v>
      </c>
      <c r="C374" s="2" t="s">
        <v>475</v>
      </c>
      <c r="D374" s="2" t="s">
        <v>42</v>
      </c>
      <c r="E374" s="15" t="s">
        <v>19</v>
      </c>
      <c r="F374" s="15" t="s">
        <v>92</v>
      </c>
      <c r="G374" s="2" t="s">
        <v>21</v>
      </c>
      <c r="H374" t="str">
        <f>_xlfn.CONCAT(Table1[[#This Row],[Attendance_ID]],Table1[[#This Row],[Date]],Table1[[#This Row],[Employee_ID]])</f>
        <v>ATT0045945707EMP1503</v>
      </c>
      <c r="I374" s="12" t="e">
        <f>VLOOKUP(Table1[[#This Row],[Employee_ID]],[1]!Table1[[Employee_ID]:[Employee_Name]],2,0)</f>
        <v>#REF!</v>
      </c>
      <c r="J374" s="2" t="b">
        <f>Table1[[#This Row],[Login_Time]]&lt;Table1[[#This Row],[Logout_Time]]</f>
        <v>1</v>
      </c>
    </row>
    <row r="375" spans="1:10" ht="15" hidden="1" customHeight="1">
      <c r="A375" s="2" t="s">
        <v>485</v>
      </c>
      <c r="B375" s="3" t="s">
        <v>486</v>
      </c>
      <c r="C375" s="2" t="s">
        <v>487</v>
      </c>
      <c r="D375" s="2" t="s">
        <v>26</v>
      </c>
      <c r="E375" s="15"/>
      <c r="F375" s="15"/>
      <c r="G375" s="2" t="s">
        <v>11</v>
      </c>
      <c r="H375" t="str">
        <f>_xlfn.CONCAT(Table1[[#This Row],[Attendance_ID]],Table1[[#This Row],[Date]],Table1[[#This Row],[Employee_ID]])</f>
        <v>ATT000102027/01/15EMP1504</v>
      </c>
      <c r="I375" s="12" t="e">
        <f>VLOOKUP(Table1[[#This Row],[Employee_ID]],[1]!Table1[[Employee_ID]:[Employee_Name]],2,0)</f>
        <v>#REF!</v>
      </c>
      <c r="J375" s="2" t="b">
        <f>Table1[[#This Row],[Login_Time]]&lt;Table1[[#This Row],[Logout_Time]]</f>
        <v>0</v>
      </c>
    </row>
    <row r="376" spans="1:10" ht="15" customHeight="1">
      <c r="A376" s="2" t="s">
        <v>488</v>
      </c>
      <c r="B376" s="3">
        <v>45668</v>
      </c>
      <c r="C376" s="2" t="s">
        <v>487</v>
      </c>
      <c r="D376" s="2" t="s">
        <v>9</v>
      </c>
      <c r="E376" s="15" t="s">
        <v>43</v>
      </c>
      <c r="F376" s="15" t="s">
        <v>24</v>
      </c>
      <c r="G376" s="2" t="s">
        <v>21</v>
      </c>
      <c r="H376" t="str">
        <f>_xlfn.CONCAT(Table1[[#This Row],[Attendance_ID]],Table1[[#This Row],[Date]],Table1[[#This Row],[Employee_ID]])</f>
        <v>ATT0006045668EMP1504</v>
      </c>
      <c r="I376" s="12" t="e">
        <f>VLOOKUP(Table1[[#This Row],[Employee_ID]],[1]!Table1[[Employee_ID]:[Employee_Name]],2,0)</f>
        <v>#REF!</v>
      </c>
      <c r="J376" s="2" t="b">
        <f>Table1[[#This Row],[Login_Time]]&lt;Table1[[#This Row],[Logout_Time]]</f>
        <v>1</v>
      </c>
    </row>
    <row r="377" spans="1:10" ht="15" customHeight="1">
      <c r="A377" s="2" t="s">
        <v>489</v>
      </c>
      <c r="B377" s="3">
        <v>45730</v>
      </c>
      <c r="C377" s="2" t="s">
        <v>487</v>
      </c>
      <c r="D377" s="2" t="s">
        <v>42</v>
      </c>
      <c r="E377" s="15" t="s">
        <v>100</v>
      </c>
      <c r="F377" s="15" t="s">
        <v>103</v>
      </c>
      <c r="G377" s="2" t="s">
        <v>11</v>
      </c>
      <c r="H377" t="str">
        <f>_xlfn.CONCAT(Table1[[#This Row],[Attendance_ID]],Table1[[#This Row],[Date]],Table1[[#This Row],[Employee_ID]])</f>
        <v>ATT0011045730EMP1504</v>
      </c>
      <c r="I377" s="12" t="e">
        <f>VLOOKUP(Table1[[#This Row],[Employee_ID]],[1]!Table1[[Employee_ID]:[Employee_Name]],2,0)</f>
        <v>#REF!</v>
      </c>
      <c r="J377" s="2" t="b">
        <f>Table1[[#This Row],[Login_Time]]&lt;Table1[[#This Row],[Logout_Time]]</f>
        <v>1</v>
      </c>
    </row>
    <row r="378" spans="1:10" ht="15" customHeight="1">
      <c r="A378" s="2" t="s">
        <v>490</v>
      </c>
      <c r="B378" s="3">
        <v>45683</v>
      </c>
      <c r="C378" s="2" t="s">
        <v>487</v>
      </c>
      <c r="D378" s="2" t="s">
        <v>42</v>
      </c>
      <c r="E378" s="15" t="s">
        <v>89</v>
      </c>
      <c r="F378" s="15" t="s">
        <v>68</v>
      </c>
      <c r="G378" s="2" t="s">
        <v>21</v>
      </c>
      <c r="H378" t="str">
        <f>_xlfn.CONCAT(Table1[[#This Row],[Attendance_ID]],Table1[[#This Row],[Date]],Table1[[#This Row],[Employee_ID]])</f>
        <v>ATT0016045683EMP1504</v>
      </c>
      <c r="I378" s="12" t="e">
        <f>VLOOKUP(Table1[[#This Row],[Employee_ID]],[1]!Table1[[Employee_ID]:[Employee_Name]],2,0)</f>
        <v>#REF!</v>
      </c>
      <c r="J378" s="2" t="b">
        <f>Table1[[#This Row],[Login_Time]]&lt;Table1[[#This Row],[Logout_Time]]</f>
        <v>1</v>
      </c>
    </row>
    <row r="379" spans="1:10" ht="15" hidden="1" customHeight="1">
      <c r="A379" s="2" t="s">
        <v>491</v>
      </c>
      <c r="B379" s="3">
        <v>45701</v>
      </c>
      <c r="C379" s="2" t="s">
        <v>487</v>
      </c>
      <c r="D379" s="2" t="s">
        <v>70</v>
      </c>
      <c r="E379" s="15"/>
      <c r="F379" s="15"/>
      <c r="G379" s="2" t="s">
        <v>11</v>
      </c>
      <c r="H379" t="str">
        <f>_xlfn.CONCAT(Table1[[#This Row],[Attendance_ID]],Table1[[#This Row],[Date]],Table1[[#This Row],[Employee_ID]])</f>
        <v>ATT0021045701EMP1504</v>
      </c>
      <c r="I379" s="12" t="e">
        <f>VLOOKUP(Table1[[#This Row],[Employee_ID]],[1]!Table1[[Employee_ID]:[Employee_Name]],2,0)</f>
        <v>#REF!</v>
      </c>
      <c r="J379" s="2" t="b">
        <f>Table1[[#This Row],[Login_Time]]&lt;Table1[[#This Row],[Logout_Time]]</f>
        <v>0</v>
      </c>
    </row>
    <row r="380" spans="1:10" ht="15" customHeight="1">
      <c r="A380" s="2" t="s">
        <v>492</v>
      </c>
      <c r="B380" s="3">
        <v>45715</v>
      </c>
      <c r="C380" s="2" t="s">
        <v>487</v>
      </c>
      <c r="D380" s="2" t="s">
        <v>9</v>
      </c>
      <c r="E380" s="15" t="s">
        <v>89</v>
      </c>
      <c r="F380" s="15" t="s">
        <v>10</v>
      </c>
      <c r="G380" s="2" t="s">
        <v>21</v>
      </c>
      <c r="H380" t="str">
        <f>_xlfn.CONCAT(Table1[[#This Row],[Attendance_ID]],Table1[[#This Row],[Date]],Table1[[#This Row],[Employee_ID]])</f>
        <v>ATT0026045715EMP1504</v>
      </c>
      <c r="I380" s="12" t="e">
        <f>VLOOKUP(Table1[[#This Row],[Employee_ID]],[1]!Table1[[Employee_ID]:[Employee_Name]],2,0)</f>
        <v>#REF!</v>
      </c>
      <c r="J380" s="2" t="b">
        <f>Table1[[#This Row],[Login_Time]]&lt;Table1[[#This Row],[Logout_Time]]</f>
        <v>1</v>
      </c>
    </row>
    <row r="381" spans="1:10" ht="15" hidden="1" customHeight="1">
      <c r="A381" s="2" t="s">
        <v>493</v>
      </c>
      <c r="B381" s="3">
        <v>45730</v>
      </c>
      <c r="C381" s="2" t="s">
        <v>487</v>
      </c>
      <c r="D381" s="2" t="s">
        <v>70</v>
      </c>
      <c r="E381" s="15"/>
      <c r="F381" s="15"/>
      <c r="G381" s="2" t="s">
        <v>11</v>
      </c>
      <c r="H381" t="str">
        <f>_xlfn.CONCAT(Table1[[#This Row],[Attendance_ID]],Table1[[#This Row],[Date]],Table1[[#This Row],[Employee_ID]])</f>
        <v>ATT0031045730EMP1504</v>
      </c>
      <c r="I381" s="12" t="e">
        <f>VLOOKUP(Table1[[#This Row],[Employee_ID]],[1]!Table1[[Employee_ID]:[Employee_Name]],2,0)</f>
        <v>#REF!</v>
      </c>
      <c r="J381" s="2" t="b">
        <f>Table1[[#This Row],[Login_Time]]&lt;Table1[[#This Row],[Logout_Time]]</f>
        <v>0</v>
      </c>
    </row>
    <row r="382" spans="1:10" ht="15" customHeight="1">
      <c r="A382" s="2" t="s">
        <v>494</v>
      </c>
      <c r="B382" s="3">
        <v>45685</v>
      </c>
      <c r="C382" s="2" t="s">
        <v>487</v>
      </c>
      <c r="D382" s="2" t="s">
        <v>9</v>
      </c>
      <c r="E382" s="15" t="s">
        <v>47</v>
      </c>
      <c r="F382" s="15" t="s">
        <v>32</v>
      </c>
      <c r="G382" s="2" t="s">
        <v>21</v>
      </c>
      <c r="H382" t="str">
        <f>_xlfn.CONCAT(Table1[[#This Row],[Attendance_ID]],Table1[[#This Row],[Date]],Table1[[#This Row],[Employee_ID]])</f>
        <v>ATT0036045685EMP1504</v>
      </c>
      <c r="I382" s="12" t="e">
        <f>VLOOKUP(Table1[[#This Row],[Employee_ID]],[1]!Table1[[Employee_ID]:[Employee_Name]],2,0)</f>
        <v>#REF!</v>
      </c>
      <c r="J382" s="2" t="b">
        <f>Table1[[#This Row],[Login_Time]]&lt;Table1[[#This Row],[Logout_Time]]</f>
        <v>1</v>
      </c>
    </row>
    <row r="383" spans="1:10" ht="15" customHeight="1">
      <c r="A383" s="2" t="s">
        <v>495</v>
      </c>
      <c r="B383" s="3">
        <v>45687</v>
      </c>
      <c r="C383" s="2" t="s">
        <v>487</v>
      </c>
      <c r="D383" s="2" t="s">
        <v>42</v>
      </c>
      <c r="E383" s="15" t="s">
        <v>100</v>
      </c>
      <c r="F383" s="15" t="s">
        <v>29</v>
      </c>
      <c r="G383" s="2" t="s">
        <v>11</v>
      </c>
      <c r="H383" t="str">
        <f>_xlfn.CONCAT(Table1[[#This Row],[Attendance_ID]],Table1[[#This Row],[Date]],Table1[[#This Row],[Employee_ID]])</f>
        <v>ATT0041045687EMP1504</v>
      </c>
      <c r="I383" s="12" t="e">
        <f>VLOOKUP(Table1[[#This Row],[Employee_ID]],[1]!Table1[[Employee_ID]:[Employee_Name]],2,0)</f>
        <v>#REF!</v>
      </c>
      <c r="J383" s="2" t="b">
        <f>Table1[[#This Row],[Login_Time]]&lt;Table1[[#This Row],[Logout_Time]]</f>
        <v>1</v>
      </c>
    </row>
    <row r="384" spans="1:10" ht="15" hidden="1" customHeight="1">
      <c r="A384" s="2" t="s">
        <v>496</v>
      </c>
      <c r="B384" s="3">
        <v>45667</v>
      </c>
      <c r="C384" s="2" t="s">
        <v>487</v>
      </c>
      <c r="D384" s="2" t="s">
        <v>26</v>
      </c>
      <c r="E384" s="15"/>
      <c r="F384" s="15"/>
      <c r="G384" s="2" t="s">
        <v>11</v>
      </c>
      <c r="H384" t="str">
        <f>_xlfn.CONCAT(Table1[[#This Row],[Attendance_ID]],Table1[[#This Row],[Date]],Table1[[#This Row],[Employee_ID]])</f>
        <v>ATT0046045667EMP1504</v>
      </c>
      <c r="I384" s="12" t="e">
        <f>VLOOKUP(Table1[[#This Row],[Employee_ID]],[1]!Table1[[Employee_ID]:[Employee_Name]],2,0)</f>
        <v>#REF!</v>
      </c>
      <c r="J384" s="2" t="b">
        <f>Table1[[#This Row],[Login_Time]]&lt;Table1[[#This Row],[Logout_Time]]</f>
        <v>0</v>
      </c>
    </row>
    <row r="385" spans="1:10" ht="15" customHeight="1">
      <c r="A385" s="2" t="s">
        <v>497</v>
      </c>
      <c r="B385" s="3">
        <v>46438</v>
      </c>
      <c r="C385" s="2" t="s">
        <v>498</v>
      </c>
      <c r="D385" s="2" t="s">
        <v>42</v>
      </c>
      <c r="E385" s="15" t="s">
        <v>23</v>
      </c>
      <c r="F385" s="15" t="s">
        <v>32</v>
      </c>
      <c r="G385" s="2" t="s">
        <v>11</v>
      </c>
      <c r="H385" t="str">
        <f>_xlfn.CONCAT(Table1[[#This Row],[Attendance_ID]],Table1[[#This Row],[Date]],Table1[[#This Row],[Employee_ID]])</f>
        <v>ATT0001146438EMP1505</v>
      </c>
      <c r="I385" s="12" t="e">
        <f>VLOOKUP(Table1[[#This Row],[Employee_ID]],[1]!Table1[[Employee_ID]:[Employee_Name]],2,0)</f>
        <v>#REF!</v>
      </c>
      <c r="J385" s="2" t="b">
        <f>Table1[[#This Row],[Login_Time]]&lt;Table1[[#This Row],[Logout_Time]]</f>
        <v>1</v>
      </c>
    </row>
    <row r="386" spans="1:10" ht="15" hidden="1" customHeight="1">
      <c r="A386" s="2" t="s">
        <v>499</v>
      </c>
      <c r="B386" s="3">
        <v>45712</v>
      </c>
      <c r="C386" s="2" t="s">
        <v>498</v>
      </c>
      <c r="D386" s="2" t="s">
        <v>26</v>
      </c>
      <c r="E386" s="15"/>
      <c r="F386" s="15"/>
      <c r="G386" s="2" t="s">
        <v>11</v>
      </c>
      <c r="H386" t="str">
        <f>_xlfn.CONCAT(Table1[[#This Row],[Attendance_ID]],Table1[[#This Row],[Date]],Table1[[#This Row],[Employee_ID]])</f>
        <v>ATT0006145712EMP1505</v>
      </c>
      <c r="I386" s="12" t="e">
        <f>VLOOKUP(Table1[[#This Row],[Employee_ID]],[1]!Table1[[Employee_ID]:[Employee_Name]],2,0)</f>
        <v>#REF!</v>
      </c>
      <c r="J386" s="2" t="b">
        <f>Table1[[#This Row],[Login_Time]]&lt;Table1[[#This Row],[Logout_Time]]</f>
        <v>0</v>
      </c>
    </row>
    <row r="387" spans="1:10" ht="15" customHeight="1">
      <c r="A387" s="2" t="s">
        <v>500</v>
      </c>
      <c r="B387" s="3">
        <v>45665</v>
      </c>
      <c r="C387" s="2" t="s">
        <v>498</v>
      </c>
      <c r="D387" s="2" t="s">
        <v>9</v>
      </c>
      <c r="E387" s="15" t="s">
        <v>105</v>
      </c>
      <c r="F387" s="15" t="s">
        <v>191</v>
      </c>
      <c r="G387" s="2" t="s">
        <v>21</v>
      </c>
      <c r="H387" t="str">
        <f>_xlfn.CONCAT(Table1[[#This Row],[Attendance_ID]],Table1[[#This Row],[Date]],Table1[[#This Row],[Employee_ID]])</f>
        <v>ATT0011145665EMP1505</v>
      </c>
      <c r="I387" s="12" t="e">
        <f>VLOOKUP(Table1[[#This Row],[Employee_ID]],[1]!Table1[[Employee_ID]:[Employee_Name]],2,0)</f>
        <v>#REF!</v>
      </c>
      <c r="J387" s="2" t="b">
        <f>Table1[[#This Row],[Login_Time]]&lt;Table1[[#This Row],[Logout_Time]]</f>
        <v>1</v>
      </c>
    </row>
    <row r="388" spans="1:10" ht="15" customHeight="1">
      <c r="A388" s="2" t="s">
        <v>501</v>
      </c>
      <c r="B388" s="3">
        <v>45682</v>
      </c>
      <c r="C388" s="2" t="s">
        <v>498</v>
      </c>
      <c r="D388" s="2" t="s">
        <v>9</v>
      </c>
      <c r="E388" s="15" t="s">
        <v>16</v>
      </c>
      <c r="F388" s="15" t="s">
        <v>103</v>
      </c>
      <c r="G388" s="2" t="s">
        <v>11</v>
      </c>
      <c r="H388" t="str">
        <f>_xlfn.CONCAT(Table1[[#This Row],[Attendance_ID]],Table1[[#This Row],[Date]],Table1[[#This Row],[Employee_ID]])</f>
        <v>ATT0016145682EMP1505</v>
      </c>
      <c r="I388" s="12" t="e">
        <f>VLOOKUP(Table1[[#This Row],[Employee_ID]],[1]!Table1[[Employee_ID]:[Employee_Name]],2,0)</f>
        <v>#REF!</v>
      </c>
      <c r="J388" s="2" t="b">
        <f>Table1[[#This Row],[Login_Time]]&lt;Table1[[#This Row],[Logout_Time]]</f>
        <v>1</v>
      </c>
    </row>
    <row r="389" spans="1:10" ht="15" customHeight="1">
      <c r="A389" s="2" t="s">
        <v>502</v>
      </c>
      <c r="B389" s="3">
        <v>45683</v>
      </c>
      <c r="C389" s="2" t="s">
        <v>498</v>
      </c>
      <c r="D389" s="2" t="s">
        <v>9</v>
      </c>
      <c r="E389" s="15" t="s">
        <v>50</v>
      </c>
      <c r="F389" s="15" t="s">
        <v>44</v>
      </c>
      <c r="G389" s="2" t="s">
        <v>21</v>
      </c>
      <c r="H389" t="str">
        <f>_xlfn.CONCAT(Table1[[#This Row],[Attendance_ID]],Table1[[#This Row],[Date]],Table1[[#This Row],[Employee_ID]])</f>
        <v>ATT0021145683EMP1505</v>
      </c>
      <c r="I389" s="12" t="e">
        <f>VLOOKUP(Table1[[#This Row],[Employee_ID]],[1]!Table1[[Employee_ID]:[Employee_Name]],2,0)</f>
        <v>#REF!</v>
      </c>
      <c r="J389" s="2" t="b">
        <f>Table1[[#This Row],[Login_Time]]&lt;Table1[[#This Row],[Logout_Time]]</f>
        <v>1</v>
      </c>
    </row>
    <row r="390" spans="1:10" ht="15" customHeight="1">
      <c r="A390" s="2" t="s">
        <v>503</v>
      </c>
      <c r="B390" s="3">
        <v>45725</v>
      </c>
      <c r="C390" s="2" t="s">
        <v>498</v>
      </c>
      <c r="D390" s="2" t="s">
        <v>9</v>
      </c>
      <c r="E390" s="15" t="s">
        <v>53</v>
      </c>
      <c r="F390" s="15" t="s">
        <v>154</v>
      </c>
      <c r="G390" s="2" t="s">
        <v>11</v>
      </c>
      <c r="H390" t="str">
        <f>_xlfn.CONCAT(Table1[[#This Row],[Attendance_ID]],Table1[[#This Row],[Date]],Table1[[#This Row],[Employee_ID]])</f>
        <v>ATT0026145725EMP1505</v>
      </c>
      <c r="I390" s="12" t="e">
        <f>VLOOKUP(Table1[[#This Row],[Employee_ID]],[1]!Table1[[Employee_ID]:[Employee_Name]],2,0)</f>
        <v>#REF!</v>
      </c>
      <c r="J390" s="2" t="b">
        <f>Table1[[#This Row],[Login_Time]]&lt;Table1[[#This Row],[Logout_Time]]</f>
        <v>1</v>
      </c>
    </row>
    <row r="391" spans="1:10" ht="15" customHeight="1">
      <c r="A391" s="2" t="s">
        <v>504</v>
      </c>
      <c r="B391" s="3">
        <v>45723</v>
      </c>
      <c r="C391" s="2" t="s">
        <v>498</v>
      </c>
      <c r="D391" s="2" t="s">
        <v>9</v>
      </c>
      <c r="E391" s="15" t="s">
        <v>61</v>
      </c>
      <c r="F391" s="15" t="s">
        <v>44</v>
      </c>
      <c r="G391" s="2" t="s">
        <v>21</v>
      </c>
      <c r="H391" t="str">
        <f>_xlfn.CONCAT(Table1[[#This Row],[Attendance_ID]],Table1[[#This Row],[Date]],Table1[[#This Row],[Employee_ID]])</f>
        <v>ATT0031145723EMP1505</v>
      </c>
      <c r="I391" s="12" t="e">
        <f>VLOOKUP(Table1[[#This Row],[Employee_ID]],[1]!Table1[[Employee_ID]:[Employee_Name]],2,0)</f>
        <v>#REF!</v>
      </c>
      <c r="J391" s="2" t="b">
        <f>Table1[[#This Row],[Login_Time]]&lt;Table1[[#This Row],[Logout_Time]]</f>
        <v>1</v>
      </c>
    </row>
    <row r="392" spans="1:10" ht="15" customHeight="1">
      <c r="A392" s="2" t="s">
        <v>505</v>
      </c>
      <c r="B392" s="3">
        <v>45700</v>
      </c>
      <c r="C392" s="2" t="s">
        <v>498</v>
      </c>
      <c r="D392" s="2" t="s">
        <v>9</v>
      </c>
      <c r="E392" s="15" t="s">
        <v>59</v>
      </c>
      <c r="F392" s="15" t="s">
        <v>66</v>
      </c>
      <c r="G392" s="2" t="s">
        <v>21</v>
      </c>
      <c r="H392" t="str">
        <f>_xlfn.CONCAT(Table1[[#This Row],[Attendance_ID]],Table1[[#This Row],[Date]],Table1[[#This Row],[Employee_ID]])</f>
        <v>ATT0036145700EMP1505</v>
      </c>
      <c r="I392" s="12" t="e">
        <f>VLOOKUP(Table1[[#This Row],[Employee_ID]],[1]!Table1[[Employee_ID]:[Employee_Name]],2,0)</f>
        <v>#REF!</v>
      </c>
      <c r="J392" s="2" t="b">
        <f>Table1[[#This Row],[Login_Time]]&lt;Table1[[#This Row],[Logout_Time]]</f>
        <v>1</v>
      </c>
    </row>
    <row r="393" spans="1:10" ht="15" customHeight="1">
      <c r="A393" s="2" t="s">
        <v>506</v>
      </c>
      <c r="B393" s="3">
        <v>45687</v>
      </c>
      <c r="C393" s="2" t="s">
        <v>498</v>
      </c>
      <c r="D393" s="2" t="s">
        <v>9</v>
      </c>
      <c r="E393" s="15" t="s">
        <v>53</v>
      </c>
      <c r="F393" s="15" t="s">
        <v>10</v>
      </c>
      <c r="G393" s="2" t="s">
        <v>11</v>
      </c>
      <c r="H393" t="str">
        <f>_xlfn.CONCAT(Table1[[#This Row],[Attendance_ID]],Table1[[#This Row],[Date]],Table1[[#This Row],[Employee_ID]])</f>
        <v>ATT0041145687EMP1505</v>
      </c>
      <c r="I393" s="12" t="e">
        <f>VLOOKUP(Table1[[#This Row],[Employee_ID]],[1]!Table1[[Employee_ID]:[Employee_Name]],2,0)</f>
        <v>#REF!</v>
      </c>
      <c r="J393" s="2" t="b">
        <f>Table1[[#This Row],[Login_Time]]&lt;Table1[[#This Row],[Logout_Time]]</f>
        <v>1</v>
      </c>
    </row>
    <row r="394" spans="1:10" ht="15" customHeight="1">
      <c r="A394" s="2" t="s">
        <v>507</v>
      </c>
      <c r="B394" s="3">
        <v>45704</v>
      </c>
      <c r="C394" s="2" t="s">
        <v>498</v>
      </c>
      <c r="D394" s="2" t="s">
        <v>9</v>
      </c>
      <c r="E394" s="15" t="s">
        <v>31</v>
      </c>
      <c r="F394" s="15" t="s">
        <v>292</v>
      </c>
      <c r="G394" s="2" t="s">
        <v>21</v>
      </c>
      <c r="H394" t="str">
        <f>_xlfn.CONCAT(Table1[[#This Row],[Attendance_ID]],Table1[[#This Row],[Date]],Table1[[#This Row],[Employee_ID]])</f>
        <v>ATT0046145704EMP1505</v>
      </c>
      <c r="I394" s="12" t="e">
        <f>VLOOKUP(Table1[[#This Row],[Employee_ID]],[1]!Table1[[Employee_ID]:[Employee_Name]],2,0)</f>
        <v>#REF!</v>
      </c>
      <c r="J394" s="2" t="b">
        <f>Table1[[#This Row],[Login_Time]]&lt;Table1[[#This Row],[Logout_Time]]</f>
        <v>1</v>
      </c>
    </row>
    <row r="395" spans="1:10" ht="15" hidden="1" customHeight="1">
      <c r="A395" s="2" t="s">
        <v>508</v>
      </c>
      <c r="B395" s="3" t="s">
        <v>509</v>
      </c>
      <c r="C395" s="2" t="s">
        <v>510</v>
      </c>
      <c r="D395" s="2" t="s">
        <v>70</v>
      </c>
      <c r="E395" s="15"/>
      <c r="F395" s="15"/>
      <c r="G395" s="2" t="s">
        <v>11</v>
      </c>
      <c r="H395" t="str">
        <f>_xlfn.CONCAT(Table1[[#This Row],[Attendance_ID]],Table1[[#This Row],[Date]],Table1[[#This Row],[Employee_ID]])</f>
        <v>ATT0001217-Mar-2027EMP1506</v>
      </c>
      <c r="I395" s="12" t="e">
        <f>VLOOKUP(Table1[[#This Row],[Employee_ID]],[1]!Table1[[Employee_ID]:[Employee_Name]],2,0)</f>
        <v>#REF!</v>
      </c>
      <c r="J395" s="2" t="b">
        <f>Table1[[#This Row],[Login_Time]]&lt;Table1[[#This Row],[Logout_Time]]</f>
        <v>0</v>
      </c>
    </row>
    <row r="396" spans="1:10" ht="15" customHeight="1">
      <c r="A396" s="2" t="s">
        <v>511</v>
      </c>
      <c r="B396" s="3">
        <v>45675</v>
      </c>
      <c r="C396" s="2" t="s">
        <v>510</v>
      </c>
      <c r="D396" s="2" t="s">
        <v>9</v>
      </c>
      <c r="E396" s="15" t="s">
        <v>89</v>
      </c>
      <c r="F396" s="15" t="s">
        <v>35</v>
      </c>
      <c r="G396" s="2" t="s">
        <v>21</v>
      </c>
      <c r="H396" t="str">
        <f>_xlfn.CONCAT(Table1[[#This Row],[Attendance_ID]],Table1[[#This Row],[Date]],Table1[[#This Row],[Employee_ID]])</f>
        <v>ATT0006245675EMP1506</v>
      </c>
      <c r="I396" s="12" t="e">
        <f>VLOOKUP(Table1[[#This Row],[Employee_ID]],[1]!Table1[[Employee_ID]:[Employee_Name]],2,0)</f>
        <v>#REF!</v>
      </c>
      <c r="J396" s="2" t="b">
        <f>Table1[[#This Row],[Login_Time]]&lt;Table1[[#This Row],[Logout_Time]]</f>
        <v>1</v>
      </c>
    </row>
    <row r="397" spans="1:10" ht="15" hidden="1" customHeight="1">
      <c r="A397" s="2" t="s">
        <v>512</v>
      </c>
      <c r="B397" s="3">
        <v>45716</v>
      </c>
      <c r="C397" s="2" t="s">
        <v>510</v>
      </c>
      <c r="D397" s="2" t="s">
        <v>26</v>
      </c>
      <c r="E397" s="15"/>
      <c r="F397" s="15"/>
      <c r="G397" s="2" t="s">
        <v>11</v>
      </c>
      <c r="H397" t="str">
        <f>_xlfn.CONCAT(Table1[[#This Row],[Attendance_ID]],Table1[[#This Row],[Date]],Table1[[#This Row],[Employee_ID]])</f>
        <v>ATT0011245716EMP1506</v>
      </c>
      <c r="I397" s="12" t="e">
        <f>VLOOKUP(Table1[[#This Row],[Employee_ID]],[1]!Table1[[Employee_ID]:[Employee_Name]],2,0)</f>
        <v>#REF!</v>
      </c>
      <c r="J397" s="2" t="b">
        <f>Table1[[#This Row],[Login_Time]]&lt;Table1[[#This Row],[Logout_Time]]</f>
        <v>0</v>
      </c>
    </row>
    <row r="398" spans="1:10" ht="15" hidden="1" customHeight="1">
      <c r="A398" s="2" t="s">
        <v>513</v>
      </c>
      <c r="B398" s="3">
        <v>45668</v>
      </c>
      <c r="C398" s="2" t="s">
        <v>510</v>
      </c>
      <c r="D398" s="2" t="s">
        <v>70</v>
      </c>
      <c r="E398" s="15"/>
      <c r="F398" s="15"/>
      <c r="G398" s="2" t="s">
        <v>11</v>
      </c>
      <c r="H398" t="str">
        <f>_xlfn.CONCAT(Table1[[#This Row],[Attendance_ID]],Table1[[#This Row],[Date]],Table1[[#This Row],[Employee_ID]])</f>
        <v>ATT0016245668EMP1506</v>
      </c>
      <c r="I398" s="12" t="e">
        <f>VLOOKUP(Table1[[#This Row],[Employee_ID]],[1]!Table1[[Employee_ID]:[Employee_Name]],2,0)</f>
        <v>#REF!</v>
      </c>
      <c r="J398" s="2" t="b">
        <f>Table1[[#This Row],[Login_Time]]&lt;Table1[[#This Row],[Logout_Time]]</f>
        <v>0</v>
      </c>
    </row>
    <row r="399" spans="1:10" ht="15" customHeight="1">
      <c r="A399" s="2" t="s">
        <v>514</v>
      </c>
      <c r="B399" s="3">
        <v>45700</v>
      </c>
      <c r="C399" s="2" t="s">
        <v>510</v>
      </c>
      <c r="D399" s="2" t="s">
        <v>9</v>
      </c>
      <c r="E399" s="15" t="s">
        <v>89</v>
      </c>
      <c r="F399" s="15" t="s">
        <v>51</v>
      </c>
      <c r="G399" s="2" t="s">
        <v>21</v>
      </c>
      <c r="H399" t="str">
        <f>_xlfn.CONCAT(Table1[[#This Row],[Attendance_ID]],Table1[[#This Row],[Date]],Table1[[#This Row],[Employee_ID]])</f>
        <v>ATT0021245700EMP1506</v>
      </c>
      <c r="I399" s="12" t="e">
        <f>VLOOKUP(Table1[[#This Row],[Employee_ID]],[1]!Table1[[Employee_ID]:[Employee_Name]],2,0)</f>
        <v>#REF!</v>
      </c>
      <c r="J399" s="2" t="b">
        <f>Table1[[#This Row],[Login_Time]]&lt;Table1[[#This Row],[Logout_Time]]</f>
        <v>1</v>
      </c>
    </row>
    <row r="400" spans="1:10" ht="15" hidden="1" customHeight="1">
      <c r="A400" s="2" t="s">
        <v>515</v>
      </c>
      <c r="B400" s="3">
        <v>45667</v>
      </c>
      <c r="C400" s="2" t="s">
        <v>510</v>
      </c>
      <c r="D400" s="2" t="s">
        <v>26</v>
      </c>
      <c r="E400" s="15"/>
      <c r="F400" s="15"/>
      <c r="G400" s="2" t="s">
        <v>11</v>
      </c>
      <c r="H400" t="str">
        <f>_xlfn.CONCAT(Table1[[#This Row],[Attendance_ID]],Table1[[#This Row],[Date]],Table1[[#This Row],[Employee_ID]])</f>
        <v>ATT0026245667EMP1506</v>
      </c>
      <c r="I400" s="12" t="e">
        <f>VLOOKUP(Table1[[#This Row],[Employee_ID]],[1]!Table1[[Employee_ID]:[Employee_Name]],2,0)</f>
        <v>#REF!</v>
      </c>
      <c r="J400" s="2" t="b">
        <f>Table1[[#This Row],[Login_Time]]&lt;Table1[[#This Row],[Logout_Time]]</f>
        <v>0</v>
      </c>
    </row>
    <row r="401" spans="1:10" ht="15" customHeight="1">
      <c r="A401" s="2" t="s">
        <v>516</v>
      </c>
      <c r="B401" s="3">
        <v>45744</v>
      </c>
      <c r="C401" s="2" t="s">
        <v>510</v>
      </c>
      <c r="D401" s="2" t="s">
        <v>42</v>
      </c>
      <c r="E401" s="15" t="s">
        <v>89</v>
      </c>
      <c r="F401" s="15" t="s">
        <v>113</v>
      </c>
      <c r="G401" s="2" t="s">
        <v>21</v>
      </c>
      <c r="H401" t="str">
        <f>_xlfn.CONCAT(Table1[[#This Row],[Attendance_ID]],Table1[[#This Row],[Date]],Table1[[#This Row],[Employee_ID]])</f>
        <v>ATT0031245744EMP1506</v>
      </c>
      <c r="I401" s="12" t="e">
        <f>VLOOKUP(Table1[[#This Row],[Employee_ID]],[1]!Table1[[Employee_ID]:[Employee_Name]],2,0)</f>
        <v>#REF!</v>
      </c>
      <c r="J401" s="2" t="b">
        <f>Table1[[#This Row],[Login_Time]]&lt;Table1[[#This Row],[Logout_Time]]</f>
        <v>1</v>
      </c>
    </row>
    <row r="402" spans="1:10" ht="15" customHeight="1">
      <c r="A402" s="2" t="s">
        <v>517</v>
      </c>
      <c r="B402" s="3">
        <v>45694</v>
      </c>
      <c r="C402" s="2" t="s">
        <v>510</v>
      </c>
      <c r="D402" s="2" t="s">
        <v>9</v>
      </c>
      <c r="E402" s="15" t="s">
        <v>50</v>
      </c>
      <c r="F402" s="15" t="s">
        <v>48</v>
      </c>
      <c r="G402" s="2" t="s">
        <v>21</v>
      </c>
      <c r="H402" t="str">
        <f>_xlfn.CONCAT(Table1[[#This Row],[Attendance_ID]],Table1[[#This Row],[Date]],Table1[[#This Row],[Employee_ID]])</f>
        <v>ATT0036245694EMP1506</v>
      </c>
      <c r="I402" s="12" t="e">
        <f>VLOOKUP(Table1[[#This Row],[Employee_ID]],[1]!Table1[[Employee_ID]:[Employee_Name]],2,0)</f>
        <v>#REF!</v>
      </c>
      <c r="J402" s="2" t="b">
        <f>Table1[[#This Row],[Login_Time]]&lt;Table1[[#This Row],[Logout_Time]]</f>
        <v>1</v>
      </c>
    </row>
    <row r="403" spans="1:10" ht="15" hidden="1" customHeight="1">
      <c r="A403" s="2" t="s">
        <v>518</v>
      </c>
      <c r="B403" s="3">
        <v>45718</v>
      </c>
      <c r="C403" s="2" t="s">
        <v>510</v>
      </c>
      <c r="D403" s="2" t="s">
        <v>26</v>
      </c>
      <c r="E403" s="15"/>
      <c r="F403" s="15"/>
      <c r="G403" s="2" t="s">
        <v>11</v>
      </c>
      <c r="H403" t="str">
        <f>_xlfn.CONCAT(Table1[[#This Row],[Attendance_ID]],Table1[[#This Row],[Date]],Table1[[#This Row],[Employee_ID]])</f>
        <v>ATT0041245718EMP1506</v>
      </c>
      <c r="I403" s="12" t="e">
        <f>VLOOKUP(Table1[[#This Row],[Employee_ID]],[1]!Table1[[Employee_ID]:[Employee_Name]],2,0)</f>
        <v>#REF!</v>
      </c>
      <c r="J403" s="2" t="b">
        <f>Table1[[#This Row],[Login_Time]]&lt;Table1[[#This Row],[Logout_Time]]</f>
        <v>0</v>
      </c>
    </row>
    <row r="404" spans="1:10" ht="15" hidden="1" customHeight="1">
      <c r="A404" s="2" t="s">
        <v>519</v>
      </c>
      <c r="B404" s="3">
        <v>45702</v>
      </c>
      <c r="C404" s="2" t="s">
        <v>510</v>
      </c>
      <c r="D404" s="2" t="s">
        <v>26</v>
      </c>
      <c r="E404" s="15"/>
      <c r="F404" s="15"/>
      <c r="G404" s="2" t="s">
        <v>11</v>
      </c>
      <c r="H404" t="str">
        <f>_xlfn.CONCAT(Table1[[#This Row],[Attendance_ID]],Table1[[#This Row],[Date]],Table1[[#This Row],[Employee_ID]])</f>
        <v>ATT0046245702EMP1506</v>
      </c>
      <c r="I404" s="12" t="e">
        <f>VLOOKUP(Table1[[#This Row],[Employee_ID]],[1]!Table1[[Employee_ID]:[Employee_Name]],2,0)</f>
        <v>#REF!</v>
      </c>
      <c r="J404" s="2" t="b">
        <f>Table1[[#This Row],[Login_Time]]&lt;Table1[[#This Row],[Logout_Time]]</f>
        <v>0</v>
      </c>
    </row>
    <row r="405" spans="1:10" ht="15" customHeight="1">
      <c r="A405" s="2" t="s">
        <v>520</v>
      </c>
      <c r="B405" s="3">
        <v>45705</v>
      </c>
      <c r="C405" s="2" t="s">
        <v>521</v>
      </c>
      <c r="D405" s="2" t="s">
        <v>42</v>
      </c>
      <c r="E405" s="15" t="s">
        <v>105</v>
      </c>
      <c r="F405" s="15" t="s">
        <v>113</v>
      </c>
      <c r="G405" s="2" t="s">
        <v>21</v>
      </c>
      <c r="H405" t="str">
        <f>_xlfn.CONCAT(Table1[[#This Row],[Attendance_ID]],Table1[[#This Row],[Date]],Table1[[#This Row],[Employee_ID]])</f>
        <v>ATT0006345705EMP1507</v>
      </c>
      <c r="I405" s="12" t="e">
        <f>VLOOKUP(Table1[[#This Row],[Employee_ID]],[1]!Table1[[Employee_ID]:[Employee_Name]],2,0)</f>
        <v>#REF!</v>
      </c>
      <c r="J405" s="2" t="b">
        <f>Table1[[#This Row],[Login_Time]]&lt;Table1[[#This Row],[Logout_Time]]</f>
        <v>1</v>
      </c>
    </row>
    <row r="406" spans="1:10" ht="15" hidden="1" customHeight="1">
      <c r="A406" s="2" t="s">
        <v>522</v>
      </c>
      <c r="B406" s="3">
        <v>45716</v>
      </c>
      <c r="C406" s="2" t="s">
        <v>521</v>
      </c>
      <c r="D406" s="2" t="s">
        <v>70</v>
      </c>
      <c r="E406" s="15"/>
      <c r="F406" s="15"/>
      <c r="G406" s="2" t="s">
        <v>11</v>
      </c>
      <c r="H406" t="str">
        <f>_xlfn.CONCAT(Table1[[#This Row],[Attendance_ID]],Table1[[#This Row],[Date]],Table1[[#This Row],[Employee_ID]])</f>
        <v>ATT0011345716EMP1507</v>
      </c>
      <c r="I406" s="12" t="e">
        <f>VLOOKUP(Table1[[#This Row],[Employee_ID]],[1]!Table1[[Employee_ID]:[Employee_Name]],2,0)</f>
        <v>#REF!</v>
      </c>
      <c r="J406" s="2" t="b">
        <f>Table1[[#This Row],[Login_Time]]&lt;Table1[[#This Row],[Logout_Time]]</f>
        <v>0</v>
      </c>
    </row>
    <row r="407" spans="1:10" ht="15" customHeight="1">
      <c r="A407" s="2" t="s">
        <v>523</v>
      </c>
      <c r="B407" s="3">
        <v>45708</v>
      </c>
      <c r="C407" s="2" t="s">
        <v>521</v>
      </c>
      <c r="D407" s="2" t="s">
        <v>42</v>
      </c>
      <c r="E407" s="15" t="s">
        <v>19</v>
      </c>
      <c r="F407" s="15" t="s">
        <v>66</v>
      </c>
      <c r="G407" s="2" t="s">
        <v>21</v>
      </c>
      <c r="H407" t="str">
        <f>_xlfn.CONCAT(Table1[[#This Row],[Attendance_ID]],Table1[[#This Row],[Date]],Table1[[#This Row],[Employee_ID]])</f>
        <v>ATT0016345708EMP1507</v>
      </c>
      <c r="I407" s="12" t="e">
        <f>VLOOKUP(Table1[[#This Row],[Employee_ID]],[1]!Table1[[Employee_ID]:[Employee_Name]],2,0)</f>
        <v>#REF!</v>
      </c>
      <c r="J407" s="2" t="b">
        <f>Table1[[#This Row],[Login_Time]]&lt;Table1[[#This Row],[Logout_Time]]</f>
        <v>1</v>
      </c>
    </row>
    <row r="408" spans="1:10" ht="15" customHeight="1">
      <c r="A408" s="2" t="s">
        <v>524</v>
      </c>
      <c r="B408" s="3">
        <v>45669</v>
      </c>
      <c r="C408" s="2" t="s">
        <v>521</v>
      </c>
      <c r="D408" s="2" t="s">
        <v>9</v>
      </c>
      <c r="E408" s="15" t="s">
        <v>13</v>
      </c>
      <c r="F408" s="15" t="s">
        <v>10</v>
      </c>
      <c r="G408" s="2" t="s">
        <v>11</v>
      </c>
      <c r="H408" t="str">
        <f>_xlfn.CONCAT(Table1[[#This Row],[Attendance_ID]],Table1[[#This Row],[Date]],Table1[[#This Row],[Employee_ID]])</f>
        <v>ATT0021345669EMP1507</v>
      </c>
      <c r="I408" s="12" t="e">
        <f>VLOOKUP(Table1[[#This Row],[Employee_ID]],[1]!Table1[[Employee_ID]:[Employee_Name]],2,0)</f>
        <v>#REF!</v>
      </c>
      <c r="J408" s="2" t="b">
        <f>Table1[[#This Row],[Login_Time]]&lt;Table1[[#This Row],[Logout_Time]]</f>
        <v>1</v>
      </c>
    </row>
    <row r="409" spans="1:10" ht="15" customHeight="1">
      <c r="A409" s="2" t="s">
        <v>525</v>
      </c>
      <c r="B409" s="3">
        <v>45743</v>
      </c>
      <c r="C409" s="2" t="s">
        <v>521</v>
      </c>
      <c r="D409" s="2" t="s">
        <v>9</v>
      </c>
      <c r="E409" s="15" t="s">
        <v>53</v>
      </c>
      <c r="F409" s="15" t="s">
        <v>113</v>
      </c>
      <c r="G409" s="2" t="s">
        <v>11</v>
      </c>
      <c r="H409" t="str">
        <f>_xlfn.CONCAT(Table1[[#This Row],[Attendance_ID]],Table1[[#This Row],[Date]],Table1[[#This Row],[Employee_ID]])</f>
        <v>ATT0026345743EMP1507</v>
      </c>
      <c r="I409" s="12" t="e">
        <f>VLOOKUP(Table1[[#This Row],[Employee_ID]],[1]!Table1[[Employee_ID]:[Employee_Name]],2,0)</f>
        <v>#REF!</v>
      </c>
      <c r="J409" s="2" t="b">
        <f>Table1[[#This Row],[Login_Time]]&lt;Table1[[#This Row],[Logout_Time]]</f>
        <v>1</v>
      </c>
    </row>
    <row r="410" spans="1:10" ht="15" customHeight="1">
      <c r="A410" s="2" t="s">
        <v>526</v>
      </c>
      <c r="B410" s="3">
        <v>45737</v>
      </c>
      <c r="C410" s="2" t="s">
        <v>521</v>
      </c>
      <c r="D410" s="2" t="s">
        <v>9</v>
      </c>
      <c r="E410" s="15" t="s">
        <v>80</v>
      </c>
      <c r="F410" s="15" t="s">
        <v>122</v>
      </c>
      <c r="G410" s="2" t="s">
        <v>21</v>
      </c>
      <c r="H410" t="str">
        <f>_xlfn.CONCAT(Table1[[#This Row],[Attendance_ID]],Table1[[#This Row],[Date]],Table1[[#This Row],[Employee_ID]])</f>
        <v>ATT0031345737EMP1507</v>
      </c>
      <c r="I410" s="12" t="e">
        <f>VLOOKUP(Table1[[#This Row],[Employee_ID]],[1]!Table1[[Employee_ID]:[Employee_Name]],2,0)</f>
        <v>#REF!</v>
      </c>
      <c r="J410" s="2" t="b">
        <f>Table1[[#This Row],[Login_Time]]&lt;Table1[[#This Row],[Logout_Time]]</f>
        <v>1</v>
      </c>
    </row>
    <row r="411" spans="1:10" ht="15" customHeight="1">
      <c r="A411" s="2" t="s">
        <v>527</v>
      </c>
      <c r="B411" s="3">
        <v>45746</v>
      </c>
      <c r="C411" s="2" t="s">
        <v>521</v>
      </c>
      <c r="D411" s="2" t="s">
        <v>9</v>
      </c>
      <c r="E411" s="15" t="s">
        <v>53</v>
      </c>
      <c r="F411" s="15" t="s">
        <v>101</v>
      </c>
      <c r="G411" s="2" t="s">
        <v>11</v>
      </c>
      <c r="H411" t="str">
        <f>_xlfn.CONCAT(Table1[[#This Row],[Attendance_ID]],Table1[[#This Row],[Date]],Table1[[#This Row],[Employee_ID]])</f>
        <v>ATT0036345746EMP1507</v>
      </c>
      <c r="I411" s="12" t="e">
        <f>VLOOKUP(Table1[[#This Row],[Employee_ID]],[1]!Table1[[Employee_ID]:[Employee_Name]],2,0)</f>
        <v>#REF!</v>
      </c>
      <c r="J411" s="2" t="b">
        <f>Table1[[#This Row],[Login_Time]]&lt;Table1[[#This Row],[Logout_Time]]</f>
        <v>1</v>
      </c>
    </row>
    <row r="412" spans="1:10" ht="15" customHeight="1">
      <c r="A412" s="2" t="s">
        <v>528</v>
      </c>
      <c r="B412" s="3">
        <v>45676</v>
      </c>
      <c r="C412" s="2" t="s">
        <v>521</v>
      </c>
      <c r="D412" s="2" t="s">
        <v>9</v>
      </c>
      <c r="E412" s="15" t="s">
        <v>80</v>
      </c>
      <c r="F412" s="15" t="s">
        <v>29</v>
      </c>
      <c r="G412" s="2" t="s">
        <v>21</v>
      </c>
      <c r="H412" t="str">
        <f>_xlfn.CONCAT(Table1[[#This Row],[Attendance_ID]],Table1[[#This Row],[Date]],Table1[[#This Row],[Employee_ID]])</f>
        <v>ATT0041345676EMP1507</v>
      </c>
      <c r="I412" s="12" t="e">
        <f>VLOOKUP(Table1[[#This Row],[Employee_ID]],[1]!Table1[[Employee_ID]:[Employee_Name]],2,0)</f>
        <v>#REF!</v>
      </c>
      <c r="J412" s="2" t="b">
        <f>Table1[[#This Row],[Login_Time]]&lt;Table1[[#This Row],[Logout_Time]]</f>
        <v>1</v>
      </c>
    </row>
    <row r="413" spans="1:10" ht="15" customHeight="1">
      <c r="A413" s="2" t="s">
        <v>529</v>
      </c>
      <c r="B413" s="3">
        <v>45730</v>
      </c>
      <c r="C413" s="2" t="s">
        <v>521</v>
      </c>
      <c r="D413" s="2" t="s">
        <v>42</v>
      </c>
      <c r="E413" s="15" t="s">
        <v>28</v>
      </c>
      <c r="F413" s="15" t="s">
        <v>55</v>
      </c>
      <c r="G413" s="2" t="s">
        <v>21</v>
      </c>
      <c r="H413" t="str">
        <f>_xlfn.CONCAT(Table1[[#This Row],[Attendance_ID]],Table1[[#This Row],[Date]],Table1[[#This Row],[Employee_ID]])</f>
        <v>ATT0046345730EMP1507</v>
      </c>
      <c r="I413" s="12" t="e">
        <f>VLOOKUP(Table1[[#This Row],[Employee_ID]],[1]!Table1[[Employee_ID]:[Employee_Name]],2,0)</f>
        <v>#REF!</v>
      </c>
      <c r="J413" s="2" t="b">
        <f>Table1[[#This Row],[Login_Time]]&lt;Table1[[#This Row],[Logout_Time]]</f>
        <v>1</v>
      </c>
    </row>
    <row r="414" spans="1:10" ht="15" customHeight="1">
      <c r="A414" s="2" t="s">
        <v>530</v>
      </c>
      <c r="B414" s="3">
        <v>45693</v>
      </c>
      <c r="C414" s="2" t="s">
        <v>531</v>
      </c>
      <c r="D414" s="2" t="s">
        <v>9</v>
      </c>
      <c r="E414" s="15" t="s">
        <v>28</v>
      </c>
      <c r="F414" s="15" t="s">
        <v>103</v>
      </c>
      <c r="G414" s="2" t="s">
        <v>21</v>
      </c>
      <c r="H414" t="str">
        <f>_xlfn.CONCAT(Table1[[#This Row],[Attendance_ID]],Table1[[#This Row],[Date]],Table1[[#This Row],[Employee_ID]])</f>
        <v>ATT0006445693EMP1508</v>
      </c>
      <c r="I414" s="12" t="e">
        <f>VLOOKUP(Table1[[#This Row],[Employee_ID]],[1]!Table1[[Employee_ID]:[Employee_Name]],2,0)</f>
        <v>#REF!</v>
      </c>
      <c r="J414" s="2" t="b">
        <f>Table1[[#This Row],[Login_Time]]&lt;Table1[[#This Row],[Logout_Time]]</f>
        <v>1</v>
      </c>
    </row>
    <row r="415" spans="1:10" ht="15" customHeight="1">
      <c r="A415" s="2" t="s">
        <v>532</v>
      </c>
      <c r="B415" s="3">
        <v>45718</v>
      </c>
      <c r="C415" s="2" t="s">
        <v>531</v>
      </c>
      <c r="D415" s="2" t="s">
        <v>42</v>
      </c>
      <c r="E415" s="15" t="s">
        <v>50</v>
      </c>
      <c r="F415" s="15" t="s">
        <v>10</v>
      </c>
      <c r="G415" s="2" t="s">
        <v>21</v>
      </c>
      <c r="H415" t="str">
        <f>_xlfn.CONCAT(Table1[[#This Row],[Attendance_ID]],Table1[[#This Row],[Date]],Table1[[#This Row],[Employee_ID]])</f>
        <v>ATT0011445718EMP1508</v>
      </c>
      <c r="I415" s="12" t="e">
        <f>VLOOKUP(Table1[[#This Row],[Employee_ID]],[1]!Table1[[Employee_ID]:[Employee_Name]],2,0)</f>
        <v>#REF!</v>
      </c>
      <c r="J415" s="2" t="b">
        <f>Table1[[#This Row],[Login_Time]]&lt;Table1[[#This Row],[Logout_Time]]</f>
        <v>1</v>
      </c>
    </row>
    <row r="416" spans="1:10" ht="15" customHeight="1">
      <c r="A416" s="2" t="s">
        <v>533</v>
      </c>
      <c r="B416" s="3">
        <v>45710</v>
      </c>
      <c r="C416" s="2" t="s">
        <v>531</v>
      </c>
      <c r="D416" s="2" t="s">
        <v>42</v>
      </c>
      <c r="E416" s="15" t="s">
        <v>57</v>
      </c>
      <c r="F416" s="15" t="s">
        <v>191</v>
      </c>
      <c r="G416" s="2" t="s">
        <v>11</v>
      </c>
      <c r="H416" t="str">
        <f>_xlfn.CONCAT(Table1[[#This Row],[Attendance_ID]],Table1[[#This Row],[Date]],Table1[[#This Row],[Employee_ID]])</f>
        <v>ATT0016445710EMP1508</v>
      </c>
      <c r="I416" s="12" t="e">
        <f>VLOOKUP(Table1[[#This Row],[Employee_ID]],[1]!Table1[[Employee_ID]:[Employee_Name]],2,0)</f>
        <v>#REF!</v>
      </c>
      <c r="J416" s="2" t="b">
        <f>Table1[[#This Row],[Login_Time]]&lt;Table1[[#This Row],[Logout_Time]]</f>
        <v>1</v>
      </c>
    </row>
    <row r="417" spans="1:10" ht="15" hidden="1" customHeight="1">
      <c r="A417" s="2" t="s">
        <v>534</v>
      </c>
      <c r="B417" s="3">
        <v>45745</v>
      </c>
      <c r="C417" s="2" t="s">
        <v>531</v>
      </c>
      <c r="D417" s="2" t="s">
        <v>26</v>
      </c>
      <c r="E417" s="15"/>
      <c r="F417" s="15"/>
      <c r="G417" s="2" t="s">
        <v>11</v>
      </c>
      <c r="H417" t="str">
        <f>_xlfn.CONCAT(Table1[[#This Row],[Attendance_ID]],Table1[[#This Row],[Date]],Table1[[#This Row],[Employee_ID]])</f>
        <v>ATT0021445745EMP1508</v>
      </c>
      <c r="I417" s="12" t="e">
        <f>VLOOKUP(Table1[[#This Row],[Employee_ID]],[1]!Table1[[Employee_ID]:[Employee_Name]],2,0)</f>
        <v>#REF!</v>
      </c>
      <c r="J417" s="2" t="b">
        <f>Table1[[#This Row],[Login_Time]]&lt;Table1[[#This Row],[Logout_Time]]</f>
        <v>0</v>
      </c>
    </row>
    <row r="418" spans="1:10" ht="15" customHeight="1">
      <c r="A418" s="2" t="s">
        <v>535</v>
      </c>
      <c r="B418" s="3">
        <v>45677</v>
      </c>
      <c r="C418" s="2" t="s">
        <v>531</v>
      </c>
      <c r="D418" s="2" t="s">
        <v>9</v>
      </c>
      <c r="E418" s="15" t="s">
        <v>149</v>
      </c>
      <c r="F418" s="15" t="s">
        <v>191</v>
      </c>
      <c r="G418" s="2" t="s">
        <v>21</v>
      </c>
      <c r="H418" t="str">
        <f>_xlfn.CONCAT(Table1[[#This Row],[Attendance_ID]],Table1[[#This Row],[Date]],Table1[[#This Row],[Employee_ID]])</f>
        <v>ATT0026445677EMP1508</v>
      </c>
      <c r="I418" s="12" t="e">
        <f>VLOOKUP(Table1[[#This Row],[Employee_ID]],[1]!Table1[[Employee_ID]:[Employee_Name]],2,0)</f>
        <v>#REF!</v>
      </c>
      <c r="J418" s="2" t="b">
        <f>Table1[[#This Row],[Login_Time]]&lt;Table1[[#This Row],[Logout_Time]]</f>
        <v>1</v>
      </c>
    </row>
    <row r="419" spans="1:10" ht="15" customHeight="1">
      <c r="A419" s="2" t="s">
        <v>536</v>
      </c>
      <c r="B419" s="3">
        <v>45723</v>
      </c>
      <c r="C419" s="2" t="s">
        <v>531</v>
      </c>
      <c r="D419" s="2" t="s">
        <v>42</v>
      </c>
      <c r="E419" s="15" t="s">
        <v>100</v>
      </c>
      <c r="F419" s="15" t="s">
        <v>78</v>
      </c>
      <c r="G419" s="2" t="s">
        <v>11</v>
      </c>
      <c r="H419" t="str">
        <f>_xlfn.CONCAT(Table1[[#This Row],[Attendance_ID]],Table1[[#This Row],[Date]],Table1[[#This Row],[Employee_ID]])</f>
        <v>ATT0031445723EMP1508</v>
      </c>
      <c r="I419" s="12" t="e">
        <f>VLOOKUP(Table1[[#This Row],[Employee_ID]],[1]!Table1[[Employee_ID]:[Employee_Name]],2,0)</f>
        <v>#REF!</v>
      </c>
      <c r="J419" s="2" t="b">
        <f>Table1[[#This Row],[Login_Time]]&lt;Table1[[#This Row],[Logout_Time]]</f>
        <v>1</v>
      </c>
    </row>
    <row r="420" spans="1:10" ht="15" customHeight="1">
      <c r="A420" s="2" t="s">
        <v>537</v>
      </c>
      <c r="B420" s="3">
        <v>45724</v>
      </c>
      <c r="C420" s="2" t="s">
        <v>531</v>
      </c>
      <c r="D420" s="2" t="s">
        <v>9</v>
      </c>
      <c r="E420" s="15" t="s">
        <v>108</v>
      </c>
      <c r="F420" s="15" t="s">
        <v>168</v>
      </c>
      <c r="G420" s="2" t="s">
        <v>11</v>
      </c>
      <c r="H420" t="str">
        <f>_xlfn.CONCAT(Table1[[#This Row],[Attendance_ID]],Table1[[#This Row],[Date]],Table1[[#This Row],[Employee_ID]])</f>
        <v>ATT0036445724EMP1508</v>
      </c>
      <c r="I420" s="12" t="e">
        <f>VLOOKUP(Table1[[#This Row],[Employee_ID]],[1]!Table1[[Employee_ID]:[Employee_Name]],2,0)</f>
        <v>#REF!</v>
      </c>
      <c r="J420" s="2" t="b">
        <f>Table1[[#This Row],[Login_Time]]&lt;Table1[[#This Row],[Logout_Time]]</f>
        <v>1</v>
      </c>
    </row>
    <row r="421" spans="1:10" ht="15" customHeight="1">
      <c r="A421" s="2" t="s">
        <v>538</v>
      </c>
      <c r="B421" s="3">
        <v>45728</v>
      </c>
      <c r="C421" s="2" t="s">
        <v>531</v>
      </c>
      <c r="D421" s="2" t="s">
        <v>42</v>
      </c>
      <c r="E421" s="15" t="s">
        <v>149</v>
      </c>
      <c r="F421" s="15" t="s">
        <v>20</v>
      </c>
      <c r="G421" s="2" t="s">
        <v>21</v>
      </c>
      <c r="H421" t="str">
        <f>_xlfn.CONCAT(Table1[[#This Row],[Attendance_ID]],Table1[[#This Row],[Date]],Table1[[#This Row],[Employee_ID]])</f>
        <v>ATT0041445728EMP1508</v>
      </c>
      <c r="I421" s="12" t="e">
        <f>VLOOKUP(Table1[[#This Row],[Employee_ID]],[1]!Table1[[Employee_ID]:[Employee_Name]],2,0)</f>
        <v>#REF!</v>
      </c>
      <c r="J421" s="2" t="b">
        <f>Table1[[#This Row],[Login_Time]]&lt;Table1[[#This Row],[Logout_Time]]</f>
        <v>1</v>
      </c>
    </row>
    <row r="422" spans="1:10" ht="15" customHeight="1">
      <c r="A422" s="2" t="s">
        <v>539</v>
      </c>
      <c r="B422" s="3">
        <v>45672</v>
      </c>
      <c r="C422" s="2" t="s">
        <v>531</v>
      </c>
      <c r="D422" s="2" t="s">
        <v>42</v>
      </c>
      <c r="E422" s="15" t="s">
        <v>115</v>
      </c>
      <c r="F422" s="15" t="s">
        <v>96</v>
      </c>
      <c r="G422" s="2" t="s">
        <v>21</v>
      </c>
      <c r="H422" t="str">
        <f>_xlfn.CONCAT(Table1[[#This Row],[Attendance_ID]],Table1[[#This Row],[Date]],Table1[[#This Row],[Employee_ID]])</f>
        <v>ATT0046445672EMP1508</v>
      </c>
      <c r="I422" s="12" t="e">
        <f>VLOOKUP(Table1[[#This Row],[Employee_ID]],[1]!Table1[[Employee_ID]:[Employee_Name]],2,0)</f>
        <v>#REF!</v>
      </c>
      <c r="J422" s="2" t="b">
        <f>Table1[[#This Row],[Login_Time]]&lt;Table1[[#This Row],[Logout_Time]]</f>
        <v>1</v>
      </c>
    </row>
    <row r="423" spans="1:10" ht="15" customHeight="1">
      <c r="A423" s="2" t="s">
        <v>542</v>
      </c>
      <c r="B423" s="3">
        <v>45672</v>
      </c>
      <c r="C423" s="2" t="s">
        <v>541</v>
      </c>
      <c r="D423" s="2" t="s">
        <v>42</v>
      </c>
      <c r="E423" s="15" t="s">
        <v>40</v>
      </c>
      <c r="F423" s="15" t="s">
        <v>92</v>
      </c>
      <c r="G423" s="2" t="s">
        <v>11</v>
      </c>
      <c r="H423" t="str">
        <f>_xlfn.CONCAT(Table1[[#This Row],[Attendance_ID]],Table1[[#This Row],[Date]],Table1[[#This Row],[Employee_ID]])</f>
        <v>ATT0006545672EMP1509</v>
      </c>
      <c r="I423" s="12" t="e">
        <f>VLOOKUP(Table1[[#This Row],[Employee_ID]],[1]!Table1[[Employee_ID]:[Employee_Name]],2,0)</f>
        <v>#REF!</v>
      </c>
      <c r="J423" s="2" t="b">
        <f>Table1[[#This Row],[Login_Time]]&lt;Table1[[#This Row],[Logout_Time]]</f>
        <v>1</v>
      </c>
    </row>
    <row r="424" spans="1:10" ht="15" hidden="1" customHeight="1">
      <c r="A424" s="2" t="s">
        <v>543</v>
      </c>
      <c r="B424" s="3">
        <v>45674</v>
      </c>
      <c r="C424" s="2" t="s">
        <v>541</v>
      </c>
      <c r="D424" s="2" t="s">
        <v>26</v>
      </c>
      <c r="E424" s="15"/>
      <c r="F424" s="15"/>
      <c r="G424" s="2" t="s">
        <v>11</v>
      </c>
      <c r="H424" t="str">
        <f>_xlfn.CONCAT(Table1[[#This Row],[Attendance_ID]],Table1[[#This Row],[Date]],Table1[[#This Row],[Employee_ID]])</f>
        <v>ATT0011545674EMP1509</v>
      </c>
      <c r="I424" s="12" t="e">
        <f>VLOOKUP(Table1[[#This Row],[Employee_ID]],[1]!Table1[[Employee_ID]:[Employee_Name]],2,0)</f>
        <v>#REF!</v>
      </c>
      <c r="J424" s="2" t="b">
        <f>Table1[[#This Row],[Login_Time]]&lt;Table1[[#This Row],[Logout_Time]]</f>
        <v>0</v>
      </c>
    </row>
    <row r="425" spans="1:10" ht="15" hidden="1" customHeight="1">
      <c r="A425" s="2" t="s">
        <v>544</v>
      </c>
      <c r="B425" s="3">
        <v>45663</v>
      </c>
      <c r="C425" s="2" t="s">
        <v>541</v>
      </c>
      <c r="D425" s="2" t="s">
        <v>26</v>
      </c>
      <c r="E425" s="15"/>
      <c r="F425" s="15"/>
      <c r="G425" s="2" t="s">
        <v>11</v>
      </c>
      <c r="H425" t="str">
        <f>_xlfn.CONCAT(Table1[[#This Row],[Attendance_ID]],Table1[[#This Row],[Date]],Table1[[#This Row],[Employee_ID]])</f>
        <v>ATT0016545663EMP1509</v>
      </c>
      <c r="I425" s="12" t="e">
        <f>VLOOKUP(Table1[[#This Row],[Employee_ID]],[1]!Table1[[Employee_ID]:[Employee_Name]],2,0)</f>
        <v>#REF!</v>
      </c>
      <c r="J425" s="2" t="b">
        <f>Table1[[#This Row],[Login_Time]]&lt;Table1[[#This Row],[Logout_Time]]</f>
        <v>0</v>
      </c>
    </row>
    <row r="426" spans="1:10" ht="15" customHeight="1">
      <c r="A426" s="2" t="s">
        <v>545</v>
      </c>
      <c r="B426" s="3">
        <v>45671</v>
      </c>
      <c r="C426" s="2" t="s">
        <v>541</v>
      </c>
      <c r="D426" s="2" t="s">
        <v>9</v>
      </c>
      <c r="E426" s="15" t="s">
        <v>31</v>
      </c>
      <c r="F426" s="15" t="s">
        <v>122</v>
      </c>
      <c r="G426" s="2" t="s">
        <v>21</v>
      </c>
      <c r="H426" t="str">
        <f>_xlfn.CONCAT(Table1[[#This Row],[Attendance_ID]],Table1[[#This Row],[Date]],Table1[[#This Row],[Employee_ID]])</f>
        <v>ATT0021545671EMP1509</v>
      </c>
      <c r="I426" s="12" t="e">
        <f>VLOOKUP(Table1[[#This Row],[Employee_ID]],[1]!Table1[[Employee_ID]:[Employee_Name]],2,0)</f>
        <v>#REF!</v>
      </c>
      <c r="J426" s="2" t="b">
        <f>Table1[[#This Row],[Login_Time]]&lt;Table1[[#This Row],[Logout_Time]]</f>
        <v>1</v>
      </c>
    </row>
    <row r="427" spans="1:10" ht="15" customHeight="1">
      <c r="A427" s="2" t="s">
        <v>546</v>
      </c>
      <c r="B427" s="3">
        <v>45689</v>
      </c>
      <c r="C427" s="2" t="s">
        <v>541</v>
      </c>
      <c r="D427" s="2" t="s">
        <v>9</v>
      </c>
      <c r="E427" s="15" t="s">
        <v>105</v>
      </c>
      <c r="F427" s="15" t="s">
        <v>195</v>
      </c>
      <c r="G427" s="2" t="s">
        <v>21</v>
      </c>
      <c r="H427" t="str">
        <f>_xlfn.CONCAT(Table1[[#This Row],[Attendance_ID]],Table1[[#This Row],[Date]],Table1[[#This Row],[Employee_ID]])</f>
        <v>ATT0026545689EMP1509</v>
      </c>
      <c r="I427" s="12" t="e">
        <f>VLOOKUP(Table1[[#This Row],[Employee_ID]],[1]!Table1[[Employee_ID]:[Employee_Name]],2,0)</f>
        <v>#REF!</v>
      </c>
      <c r="J427" s="2" t="b">
        <f>Table1[[#This Row],[Login_Time]]&lt;Table1[[#This Row],[Logout_Time]]</f>
        <v>1</v>
      </c>
    </row>
    <row r="428" spans="1:10" ht="15" customHeight="1">
      <c r="A428" s="2" t="s">
        <v>547</v>
      </c>
      <c r="B428" s="3">
        <v>45701</v>
      </c>
      <c r="C428" s="2" t="s">
        <v>541</v>
      </c>
      <c r="D428" s="2" t="s">
        <v>42</v>
      </c>
      <c r="E428" s="15" t="s">
        <v>149</v>
      </c>
      <c r="F428" s="15" t="s">
        <v>96</v>
      </c>
      <c r="G428" s="2" t="s">
        <v>21</v>
      </c>
      <c r="H428" t="str">
        <f>_xlfn.CONCAT(Table1[[#This Row],[Attendance_ID]],Table1[[#This Row],[Date]],Table1[[#This Row],[Employee_ID]])</f>
        <v>ATT0031545701EMP1509</v>
      </c>
      <c r="I428" s="12" t="e">
        <f>VLOOKUP(Table1[[#This Row],[Employee_ID]],[1]!Table1[[Employee_ID]:[Employee_Name]],2,0)</f>
        <v>#REF!</v>
      </c>
      <c r="J428" s="2" t="b">
        <f>Table1[[#This Row],[Login_Time]]&lt;Table1[[#This Row],[Logout_Time]]</f>
        <v>1</v>
      </c>
    </row>
    <row r="429" spans="1:10" ht="15" customHeight="1">
      <c r="A429" s="2" t="s">
        <v>548</v>
      </c>
      <c r="B429" s="3">
        <v>45677</v>
      </c>
      <c r="C429" s="2" t="s">
        <v>541</v>
      </c>
      <c r="D429" s="2" t="s">
        <v>9</v>
      </c>
      <c r="E429" s="15" t="s">
        <v>34</v>
      </c>
      <c r="F429" s="15" t="s">
        <v>165</v>
      </c>
      <c r="G429" s="2" t="s">
        <v>21</v>
      </c>
      <c r="H429" t="str">
        <f>_xlfn.CONCAT(Table1[[#This Row],[Attendance_ID]],Table1[[#This Row],[Date]],Table1[[#This Row],[Employee_ID]])</f>
        <v>ATT0036545677EMP1509</v>
      </c>
      <c r="I429" s="12" t="e">
        <f>VLOOKUP(Table1[[#This Row],[Employee_ID]],[1]!Table1[[Employee_ID]:[Employee_Name]],2,0)</f>
        <v>#REF!</v>
      </c>
      <c r="J429" s="2" t="b">
        <f>Table1[[#This Row],[Login_Time]]&lt;Table1[[#This Row],[Logout_Time]]</f>
        <v>1</v>
      </c>
    </row>
    <row r="430" spans="1:10" ht="15" customHeight="1">
      <c r="A430" s="2" t="s">
        <v>549</v>
      </c>
      <c r="B430" s="3">
        <v>45746</v>
      </c>
      <c r="C430" s="2" t="s">
        <v>541</v>
      </c>
      <c r="D430" s="2" t="s">
        <v>9</v>
      </c>
      <c r="E430" s="15" t="s">
        <v>28</v>
      </c>
      <c r="F430" s="15" t="s">
        <v>195</v>
      </c>
      <c r="G430" s="2" t="s">
        <v>21</v>
      </c>
      <c r="H430" t="str">
        <f>_xlfn.CONCAT(Table1[[#This Row],[Attendance_ID]],Table1[[#This Row],[Date]],Table1[[#This Row],[Employee_ID]])</f>
        <v>ATT0041545746EMP1509</v>
      </c>
      <c r="I430" s="12" t="e">
        <f>VLOOKUP(Table1[[#This Row],[Employee_ID]],[1]!Table1[[Employee_ID]:[Employee_Name]],2,0)</f>
        <v>#REF!</v>
      </c>
      <c r="J430" s="2" t="b">
        <f>Table1[[#This Row],[Login_Time]]&lt;Table1[[#This Row],[Logout_Time]]</f>
        <v>1</v>
      </c>
    </row>
    <row r="431" spans="1:10" ht="15" customHeight="1">
      <c r="A431" s="2" t="s">
        <v>550</v>
      </c>
      <c r="B431" s="3">
        <v>45673</v>
      </c>
      <c r="C431" s="2" t="s">
        <v>541</v>
      </c>
      <c r="D431" s="2" t="s">
        <v>9</v>
      </c>
      <c r="E431" s="15" t="s">
        <v>149</v>
      </c>
      <c r="F431" s="15" t="s">
        <v>92</v>
      </c>
      <c r="G431" s="2" t="s">
        <v>21</v>
      </c>
      <c r="H431" t="str">
        <f>_xlfn.CONCAT(Table1[[#This Row],[Attendance_ID]],Table1[[#This Row],[Date]],Table1[[#This Row],[Employee_ID]])</f>
        <v>ATT0046545673EMP1509</v>
      </c>
      <c r="I431" s="12" t="e">
        <f>VLOOKUP(Table1[[#This Row],[Employee_ID]],[1]!Table1[[Employee_ID]:[Employee_Name]],2,0)</f>
        <v>#REF!</v>
      </c>
      <c r="J431" s="2" t="b">
        <f>Table1[[#This Row],[Login_Time]]&lt;Table1[[#This Row],[Logout_Time]]</f>
        <v>1</v>
      </c>
    </row>
    <row r="432" spans="1:10" ht="15" customHeight="1">
      <c r="A432" s="2" t="s">
        <v>552</v>
      </c>
      <c r="B432" s="3">
        <v>45719</v>
      </c>
      <c r="C432" s="2" t="s">
        <v>551</v>
      </c>
      <c r="D432" s="2" t="s">
        <v>9</v>
      </c>
      <c r="E432" s="15" t="s">
        <v>31</v>
      </c>
      <c r="F432" s="15" t="s">
        <v>14</v>
      </c>
      <c r="G432" s="2" t="s">
        <v>21</v>
      </c>
      <c r="H432" t="str">
        <f>_xlfn.CONCAT(Table1[[#This Row],[Attendance_ID]],Table1[[#This Row],[Date]],Table1[[#This Row],[Employee_ID]])</f>
        <v>ATT0006645719EMP1510</v>
      </c>
      <c r="I432" s="12" t="e">
        <f>VLOOKUP(Table1[[#This Row],[Employee_ID]],[1]!Table1[[Employee_ID]:[Employee_Name]],2,0)</f>
        <v>#REF!</v>
      </c>
      <c r="J432" s="2" t="b">
        <f>Table1[[#This Row],[Login_Time]]&lt;Table1[[#This Row],[Logout_Time]]</f>
        <v>1</v>
      </c>
    </row>
    <row r="433" spans="1:10" ht="15" hidden="1" customHeight="1">
      <c r="A433" s="2" t="s">
        <v>553</v>
      </c>
      <c r="B433" s="3">
        <v>45696</v>
      </c>
      <c r="C433" s="2" t="s">
        <v>551</v>
      </c>
      <c r="D433" s="2" t="s">
        <v>70</v>
      </c>
      <c r="E433" s="15"/>
      <c r="F433" s="15"/>
      <c r="G433" s="2" t="s">
        <v>11</v>
      </c>
      <c r="H433" t="str">
        <f>_xlfn.CONCAT(Table1[[#This Row],[Attendance_ID]],Table1[[#This Row],[Date]],Table1[[#This Row],[Employee_ID]])</f>
        <v>ATT0011645696EMP1510</v>
      </c>
      <c r="I433" s="12" t="e">
        <f>VLOOKUP(Table1[[#This Row],[Employee_ID]],[1]!Table1[[Employee_ID]:[Employee_Name]],2,0)</f>
        <v>#REF!</v>
      </c>
      <c r="J433" s="2" t="b">
        <f>Table1[[#This Row],[Login_Time]]&lt;Table1[[#This Row],[Logout_Time]]</f>
        <v>0</v>
      </c>
    </row>
    <row r="434" spans="1:10" ht="15" hidden="1" customHeight="1">
      <c r="A434" s="2" t="s">
        <v>554</v>
      </c>
      <c r="B434" s="3">
        <v>45668</v>
      </c>
      <c r="C434" s="2" t="s">
        <v>551</v>
      </c>
      <c r="D434" s="2" t="s">
        <v>70</v>
      </c>
      <c r="E434" s="15"/>
      <c r="F434" s="15"/>
      <c r="G434" s="2" t="s">
        <v>11</v>
      </c>
      <c r="H434" t="str">
        <f>_xlfn.CONCAT(Table1[[#This Row],[Attendance_ID]],Table1[[#This Row],[Date]],Table1[[#This Row],[Employee_ID]])</f>
        <v>ATT0016645668EMP1510</v>
      </c>
      <c r="I434" s="12" t="e">
        <f>VLOOKUP(Table1[[#This Row],[Employee_ID]],[1]!Table1[[Employee_ID]:[Employee_Name]],2,0)</f>
        <v>#REF!</v>
      </c>
      <c r="J434" s="2" t="b">
        <f>Table1[[#This Row],[Login_Time]]&lt;Table1[[#This Row],[Logout_Time]]</f>
        <v>0</v>
      </c>
    </row>
    <row r="435" spans="1:10" ht="15" hidden="1" customHeight="1">
      <c r="A435" s="2" t="s">
        <v>555</v>
      </c>
      <c r="B435" s="3">
        <v>45705</v>
      </c>
      <c r="C435" s="2" t="s">
        <v>551</v>
      </c>
      <c r="D435" s="2" t="s">
        <v>70</v>
      </c>
      <c r="E435" s="15"/>
      <c r="F435" s="15"/>
      <c r="G435" s="2" t="s">
        <v>11</v>
      </c>
      <c r="H435" t="str">
        <f>_xlfn.CONCAT(Table1[[#This Row],[Attendance_ID]],Table1[[#This Row],[Date]],Table1[[#This Row],[Employee_ID]])</f>
        <v>ATT0021645705EMP1510</v>
      </c>
      <c r="I435" s="12" t="e">
        <f>VLOOKUP(Table1[[#This Row],[Employee_ID]],[1]!Table1[[Employee_ID]:[Employee_Name]],2,0)</f>
        <v>#REF!</v>
      </c>
      <c r="J435" s="2" t="b">
        <f>Table1[[#This Row],[Login_Time]]&lt;Table1[[#This Row],[Logout_Time]]</f>
        <v>0</v>
      </c>
    </row>
    <row r="436" spans="1:10" ht="15" customHeight="1">
      <c r="A436" s="2" t="s">
        <v>556</v>
      </c>
      <c r="B436" s="3">
        <v>45689</v>
      </c>
      <c r="C436" s="2" t="s">
        <v>551</v>
      </c>
      <c r="D436" s="2" t="s">
        <v>9</v>
      </c>
      <c r="E436" s="15" t="s">
        <v>158</v>
      </c>
      <c r="F436" s="15" t="s">
        <v>32</v>
      </c>
      <c r="G436" s="2" t="s">
        <v>11</v>
      </c>
      <c r="H436" t="str">
        <f>_xlfn.CONCAT(Table1[[#This Row],[Attendance_ID]],Table1[[#This Row],[Date]],Table1[[#This Row],[Employee_ID]])</f>
        <v>ATT0026645689EMP1510</v>
      </c>
      <c r="I436" s="12" t="e">
        <f>VLOOKUP(Table1[[#This Row],[Employee_ID]],[1]!Table1[[Employee_ID]:[Employee_Name]],2,0)</f>
        <v>#REF!</v>
      </c>
      <c r="J436" s="2" t="b">
        <f>Table1[[#This Row],[Login_Time]]&lt;Table1[[#This Row],[Logout_Time]]</f>
        <v>1</v>
      </c>
    </row>
    <row r="437" spans="1:10" ht="15" customHeight="1">
      <c r="A437" s="2" t="s">
        <v>557</v>
      </c>
      <c r="B437" s="3">
        <v>45704</v>
      </c>
      <c r="C437" s="2" t="s">
        <v>551</v>
      </c>
      <c r="D437" s="2" t="s">
        <v>9</v>
      </c>
      <c r="E437" s="15" t="s">
        <v>40</v>
      </c>
      <c r="F437" s="15" t="s">
        <v>261</v>
      </c>
      <c r="G437" s="2" t="s">
        <v>11</v>
      </c>
      <c r="H437" t="str">
        <f>_xlfn.CONCAT(Table1[[#This Row],[Attendance_ID]],Table1[[#This Row],[Date]],Table1[[#This Row],[Employee_ID]])</f>
        <v>ATT0031645704EMP1510</v>
      </c>
      <c r="I437" s="12" t="e">
        <f>VLOOKUP(Table1[[#This Row],[Employee_ID]],[1]!Table1[[Employee_ID]:[Employee_Name]],2,0)</f>
        <v>#REF!</v>
      </c>
      <c r="J437" s="2" t="b">
        <f>Table1[[#This Row],[Login_Time]]&lt;Table1[[#This Row],[Logout_Time]]</f>
        <v>1</v>
      </c>
    </row>
    <row r="438" spans="1:10" ht="15" customHeight="1">
      <c r="A438" s="2" t="s">
        <v>558</v>
      </c>
      <c r="B438" s="3">
        <v>45714</v>
      </c>
      <c r="C438" s="2" t="s">
        <v>551</v>
      </c>
      <c r="D438" s="2" t="s">
        <v>9</v>
      </c>
      <c r="E438" s="15" t="s">
        <v>40</v>
      </c>
      <c r="F438" s="15" t="s">
        <v>127</v>
      </c>
      <c r="G438" s="2" t="s">
        <v>11</v>
      </c>
      <c r="H438" t="str">
        <f>_xlfn.CONCAT(Table1[[#This Row],[Attendance_ID]],Table1[[#This Row],[Date]],Table1[[#This Row],[Employee_ID]])</f>
        <v>ATT0036645714EMP1510</v>
      </c>
      <c r="I438" s="12" t="e">
        <f>VLOOKUP(Table1[[#This Row],[Employee_ID]],[1]!Table1[[Employee_ID]:[Employee_Name]],2,0)</f>
        <v>#REF!</v>
      </c>
      <c r="J438" s="2" t="b">
        <f>Table1[[#This Row],[Login_Time]]&lt;Table1[[#This Row],[Logout_Time]]</f>
        <v>1</v>
      </c>
    </row>
    <row r="439" spans="1:10" ht="15" customHeight="1">
      <c r="A439" s="2" t="s">
        <v>559</v>
      </c>
      <c r="B439" s="3">
        <v>45675</v>
      </c>
      <c r="C439" s="2" t="s">
        <v>551</v>
      </c>
      <c r="D439" s="2" t="s">
        <v>9</v>
      </c>
      <c r="E439" s="15" t="s">
        <v>80</v>
      </c>
      <c r="F439" s="15" t="s">
        <v>106</v>
      </c>
      <c r="G439" s="2" t="s">
        <v>21</v>
      </c>
      <c r="H439" t="str">
        <f>_xlfn.CONCAT(Table1[[#This Row],[Attendance_ID]],Table1[[#This Row],[Date]],Table1[[#This Row],[Employee_ID]])</f>
        <v>ATT0041645675EMP1510</v>
      </c>
      <c r="I439" s="12" t="e">
        <f>VLOOKUP(Table1[[#This Row],[Employee_ID]],[1]!Table1[[Employee_ID]:[Employee_Name]],2,0)</f>
        <v>#REF!</v>
      </c>
      <c r="J439" s="2" t="b">
        <f>Table1[[#This Row],[Login_Time]]&lt;Table1[[#This Row],[Logout_Time]]</f>
        <v>1</v>
      </c>
    </row>
    <row r="440" spans="1:10" ht="15" customHeight="1">
      <c r="A440" s="2" t="s">
        <v>560</v>
      </c>
      <c r="B440" s="3">
        <v>45729</v>
      </c>
      <c r="C440" s="2" t="s">
        <v>551</v>
      </c>
      <c r="D440" s="2" t="s">
        <v>9</v>
      </c>
      <c r="E440" s="15" t="s">
        <v>158</v>
      </c>
      <c r="F440" s="15" t="s">
        <v>127</v>
      </c>
      <c r="G440" s="2" t="s">
        <v>11</v>
      </c>
      <c r="H440" t="str">
        <f>_xlfn.CONCAT(Table1[[#This Row],[Attendance_ID]],Table1[[#This Row],[Date]],Table1[[#This Row],[Employee_ID]])</f>
        <v>ATT0046645729EMP1510</v>
      </c>
      <c r="I440" s="12" t="e">
        <f>VLOOKUP(Table1[[#This Row],[Employee_ID]],[1]!Table1[[Employee_ID]:[Employee_Name]],2,0)</f>
        <v>#REF!</v>
      </c>
      <c r="J440" s="2" t="b">
        <f>Table1[[#This Row],[Login_Time]]&lt;Table1[[#This Row],[Logout_Time]]</f>
        <v>1</v>
      </c>
    </row>
    <row r="441" spans="1:10" ht="15" hidden="1" customHeight="1">
      <c r="A441" s="2" t="s">
        <v>561</v>
      </c>
      <c r="B441" s="3">
        <v>45701</v>
      </c>
      <c r="C441" s="2" t="s">
        <v>562</v>
      </c>
      <c r="D441" s="2" t="s">
        <v>563</v>
      </c>
      <c r="E441" s="15"/>
      <c r="F441" s="15"/>
      <c r="G441" s="2" t="s">
        <v>11</v>
      </c>
      <c r="H441" t="str">
        <f>_xlfn.CONCAT(Table1[[#This Row],[Attendance_ID]],Table1[[#This Row],[Date]],Table1[[#This Row],[Employee_ID]])</f>
        <v>ATT0000245701EMP2001</v>
      </c>
      <c r="I441" s="12" t="e">
        <f>VLOOKUP(Table1[[#This Row],[Employee_ID]],[1]!Table1[[Employee_ID]:[Employee_Name]],2,0)</f>
        <v>#REF!</v>
      </c>
      <c r="J441" s="2" t="b">
        <f>Table1[[#This Row],[Login_Time]]&lt;Table1[[#This Row],[Logout_Time]]</f>
        <v>0</v>
      </c>
    </row>
    <row r="442" spans="1:10" ht="15" customHeight="1">
      <c r="A442" s="2" t="s">
        <v>564</v>
      </c>
      <c r="B442" s="3">
        <v>45670</v>
      </c>
      <c r="C442" s="2" t="s">
        <v>562</v>
      </c>
      <c r="D442" s="2" t="s">
        <v>9</v>
      </c>
      <c r="E442" s="15" t="s">
        <v>53</v>
      </c>
      <c r="F442" s="15" t="s">
        <v>86</v>
      </c>
      <c r="G442" s="2" t="s">
        <v>11</v>
      </c>
      <c r="H442" t="str">
        <f>_xlfn.CONCAT(Table1[[#This Row],[Attendance_ID]],Table1[[#This Row],[Date]],Table1[[#This Row],[Employee_ID]])</f>
        <v>ATT0005245670EMP2001</v>
      </c>
      <c r="I442" s="12" t="e">
        <f>VLOOKUP(Table1[[#This Row],[Employee_ID]],[1]!Table1[[Employee_ID]:[Employee_Name]],2,0)</f>
        <v>#REF!</v>
      </c>
      <c r="J442" s="2" t="b">
        <f>Table1[[#This Row],[Login_Time]]&lt;Table1[[#This Row],[Logout_Time]]</f>
        <v>1</v>
      </c>
    </row>
    <row r="443" spans="1:10" ht="15" customHeight="1">
      <c r="A443" s="2" t="s">
        <v>565</v>
      </c>
      <c r="B443" s="3">
        <v>45686</v>
      </c>
      <c r="C443" s="2" t="s">
        <v>562</v>
      </c>
      <c r="D443" s="2" t="s">
        <v>42</v>
      </c>
      <c r="E443" s="15" t="s">
        <v>105</v>
      </c>
      <c r="F443" s="15" t="s">
        <v>127</v>
      </c>
      <c r="G443" s="2" t="s">
        <v>21</v>
      </c>
      <c r="H443" t="str">
        <f>_xlfn.CONCAT(Table1[[#This Row],[Attendance_ID]],Table1[[#This Row],[Date]],Table1[[#This Row],[Employee_ID]])</f>
        <v>ATT0010245686EMP2001</v>
      </c>
      <c r="I443" s="12" t="e">
        <f>VLOOKUP(Table1[[#This Row],[Employee_ID]],[1]!Table1[[Employee_ID]:[Employee_Name]],2,0)</f>
        <v>#REF!</v>
      </c>
      <c r="J443" s="2" t="b">
        <f>Table1[[#This Row],[Login_Time]]&lt;Table1[[#This Row],[Logout_Time]]</f>
        <v>1</v>
      </c>
    </row>
    <row r="444" spans="1:10" ht="15" customHeight="1">
      <c r="A444" s="2" t="s">
        <v>566</v>
      </c>
      <c r="B444" s="3">
        <v>45728</v>
      </c>
      <c r="C444" s="2" t="s">
        <v>562</v>
      </c>
      <c r="D444" s="2" t="s">
        <v>9</v>
      </c>
      <c r="E444" s="15" t="s">
        <v>50</v>
      </c>
      <c r="F444" s="15" t="s">
        <v>261</v>
      </c>
      <c r="G444" s="2" t="s">
        <v>21</v>
      </c>
      <c r="H444" t="str">
        <f>_xlfn.CONCAT(Table1[[#This Row],[Attendance_ID]],Table1[[#This Row],[Date]],Table1[[#This Row],[Employee_ID]])</f>
        <v>ATT0015245728EMP2001</v>
      </c>
      <c r="I444" s="12" t="e">
        <f>VLOOKUP(Table1[[#This Row],[Employee_ID]],[1]!Table1[[Employee_ID]:[Employee_Name]],2,0)</f>
        <v>#REF!</v>
      </c>
      <c r="J444" s="2" t="b">
        <f>Table1[[#This Row],[Login_Time]]&lt;Table1[[#This Row],[Logout_Time]]</f>
        <v>1</v>
      </c>
    </row>
    <row r="445" spans="1:10" ht="15" customHeight="1">
      <c r="A445" s="2" t="s">
        <v>567</v>
      </c>
      <c r="B445" s="3">
        <v>45664</v>
      </c>
      <c r="C445" s="2" t="s">
        <v>562</v>
      </c>
      <c r="D445" s="2" t="s">
        <v>42</v>
      </c>
      <c r="E445" s="15" t="s">
        <v>59</v>
      </c>
      <c r="F445" s="15" t="s">
        <v>29</v>
      </c>
      <c r="G445" s="2" t="s">
        <v>21</v>
      </c>
      <c r="H445" t="str">
        <f>_xlfn.CONCAT(Table1[[#This Row],[Attendance_ID]],Table1[[#This Row],[Date]],Table1[[#This Row],[Employee_ID]])</f>
        <v>ATT0020245664EMP2001</v>
      </c>
      <c r="I445" s="12" t="e">
        <f>VLOOKUP(Table1[[#This Row],[Employee_ID]],[1]!Table1[[Employee_ID]:[Employee_Name]],2,0)</f>
        <v>#REF!</v>
      </c>
      <c r="J445" s="2" t="b">
        <f>Table1[[#This Row],[Login_Time]]&lt;Table1[[#This Row],[Logout_Time]]</f>
        <v>1</v>
      </c>
    </row>
    <row r="446" spans="1:10" ht="15" hidden="1" customHeight="1">
      <c r="A446" s="2" t="s">
        <v>568</v>
      </c>
      <c r="B446" s="3">
        <v>45712</v>
      </c>
      <c r="C446" s="2" t="s">
        <v>562</v>
      </c>
      <c r="D446" s="2" t="s">
        <v>26</v>
      </c>
      <c r="E446" s="15"/>
      <c r="F446" s="15"/>
      <c r="G446" s="2" t="s">
        <v>11</v>
      </c>
      <c r="H446" t="str">
        <f>_xlfn.CONCAT(Table1[[#This Row],[Attendance_ID]],Table1[[#This Row],[Date]],Table1[[#This Row],[Employee_ID]])</f>
        <v>ATT0025245712EMP2001</v>
      </c>
      <c r="I446" s="12" t="e">
        <f>VLOOKUP(Table1[[#This Row],[Employee_ID]],[1]!Table1[[Employee_ID]:[Employee_Name]],2,0)</f>
        <v>#REF!</v>
      </c>
      <c r="J446" s="2" t="b">
        <f>Table1[[#This Row],[Login_Time]]&lt;Table1[[#This Row],[Logout_Time]]</f>
        <v>0</v>
      </c>
    </row>
    <row r="447" spans="1:10" ht="15" customHeight="1">
      <c r="A447" s="2" t="s">
        <v>569</v>
      </c>
      <c r="B447" s="3">
        <v>45680</v>
      </c>
      <c r="C447" s="2" t="s">
        <v>562</v>
      </c>
      <c r="D447" s="2" t="s">
        <v>9</v>
      </c>
      <c r="E447" s="15" t="s">
        <v>50</v>
      </c>
      <c r="F447" s="15" t="s">
        <v>168</v>
      </c>
      <c r="G447" s="2" t="s">
        <v>21</v>
      </c>
      <c r="H447" t="str">
        <f>_xlfn.CONCAT(Table1[[#This Row],[Attendance_ID]],Table1[[#This Row],[Date]],Table1[[#This Row],[Employee_ID]])</f>
        <v>ATT0030245680EMP2001</v>
      </c>
      <c r="I447" s="12" t="e">
        <f>VLOOKUP(Table1[[#This Row],[Employee_ID]],[1]!Table1[[Employee_ID]:[Employee_Name]],2,0)</f>
        <v>#REF!</v>
      </c>
      <c r="J447" s="2" t="b">
        <f>Table1[[#This Row],[Login_Time]]&lt;Table1[[#This Row],[Logout_Time]]</f>
        <v>1</v>
      </c>
    </row>
    <row r="448" spans="1:10" ht="15" customHeight="1">
      <c r="A448" s="2" t="s">
        <v>570</v>
      </c>
      <c r="B448" s="3">
        <v>45723</v>
      </c>
      <c r="C448" s="2" t="s">
        <v>562</v>
      </c>
      <c r="D448" s="2" t="s">
        <v>9</v>
      </c>
      <c r="E448" s="15" t="s">
        <v>89</v>
      </c>
      <c r="F448" s="15" t="s">
        <v>44</v>
      </c>
      <c r="G448" s="2" t="s">
        <v>21</v>
      </c>
      <c r="H448" t="str">
        <f>_xlfn.CONCAT(Table1[[#This Row],[Attendance_ID]],Table1[[#This Row],[Date]],Table1[[#This Row],[Employee_ID]])</f>
        <v>ATT0035245723EMP2001</v>
      </c>
      <c r="I448" s="12" t="e">
        <f>VLOOKUP(Table1[[#This Row],[Employee_ID]],[1]!Table1[[Employee_ID]:[Employee_Name]],2,0)</f>
        <v>#REF!</v>
      </c>
      <c r="J448" s="2" t="b">
        <f>Table1[[#This Row],[Login_Time]]&lt;Table1[[#This Row],[Logout_Time]]</f>
        <v>1</v>
      </c>
    </row>
    <row r="449" spans="1:10" ht="15" customHeight="1">
      <c r="A449" s="2" t="s">
        <v>571</v>
      </c>
      <c r="B449" s="3">
        <v>45738</v>
      </c>
      <c r="C449" s="2" t="s">
        <v>562</v>
      </c>
      <c r="D449" s="2" t="s">
        <v>9</v>
      </c>
      <c r="E449" s="15" t="s">
        <v>136</v>
      </c>
      <c r="F449" s="15" t="s">
        <v>10</v>
      </c>
      <c r="G449" s="2" t="s">
        <v>21</v>
      </c>
      <c r="H449" t="str">
        <f>_xlfn.CONCAT(Table1[[#This Row],[Attendance_ID]],Table1[[#This Row],[Date]],Table1[[#This Row],[Employee_ID]])</f>
        <v>ATT0040245738EMP2001</v>
      </c>
      <c r="I449" s="12" t="e">
        <f>VLOOKUP(Table1[[#This Row],[Employee_ID]],[1]!Table1[[Employee_ID]:[Employee_Name]],2,0)</f>
        <v>#REF!</v>
      </c>
      <c r="J449" s="2" t="b">
        <f>Table1[[#This Row],[Login_Time]]&lt;Table1[[#This Row],[Logout_Time]]</f>
        <v>1</v>
      </c>
    </row>
    <row r="450" spans="1:10" ht="15" customHeight="1">
      <c r="A450" s="2" t="s">
        <v>572</v>
      </c>
      <c r="B450" s="3">
        <v>45705</v>
      </c>
      <c r="C450" s="2" t="s">
        <v>562</v>
      </c>
      <c r="D450" s="2" t="s">
        <v>9</v>
      </c>
      <c r="E450" s="15" t="s">
        <v>19</v>
      </c>
      <c r="F450" s="15" t="s">
        <v>101</v>
      </c>
      <c r="G450" s="2" t="s">
        <v>21</v>
      </c>
      <c r="H450" t="str">
        <f>_xlfn.CONCAT(Table1[[#This Row],[Attendance_ID]],Table1[[#This Row],[Date]],Table1[[#This Row],[Employee_ID]])</f>
        <v>ATT0045245705EMP2001</v>
      </c>
      <c r="I450" s="12" t="e">
        <f>VLOOKUP(Table1[[#This Row],[Employee_ID]],[1]!Table1[[Employee_ID]:[Employee_Name]],2,0)</f>
        <v>#REF!</v>
      </c>
      <c r="J450" s="2" t="b">
        <f>Table1[[#This Row],[Login_Time]]&lt;Table1[[#This Row],[Logout_Time]]</f>
        <v>1</v>
      </c>
    </row>
    <row r="451" spans="1:10" ht="15" customHeight="1">
      <c r="A451" s="2" t="s">
        <v>573</v>
      </c>
      <c r="B451" s="3">
        <v>45683</v>
      </c>
      <c r="C451" s="2" t="s">
        <v>574</v>
      </c>
      <c r="D451" s="2" t="s">
        <v>575</v>
      </c>
      <c r="E451" s="15" t="s">
        <v>28</v>
      </c>
      <c r="F451" s="15" t="s">
        <v>168</v>
      </c>
      <c r="G451" s="2" t="s">
        <v>21</v>
      </c>
      <c r="H451" t="str">
        <f>_xlfn.CONCAT(Table1[[#This Row],[Attendance_ID]],Table1[[#This Row],[Date]],Table1[[#This Row],[Employee_ID]])</f>
        <v>ATT0000345683EMP2002</v>
      </c>
      <c r="I451" s="12" t="e">
        <f>VLOOKUP(Table1[[#This Row],[Employee_ID]],[1]!Table1[[Employee_ID]:[Employee_Name]],2,0)</f>
        <v>#REF!</v>
      </c>
      <c r="J451" s="2" t="b">
        <f>Table1[[#This Row],[Login_Time]]&lt;Table1[[#This Row],[Logout_Time]]</f>
        <v>1</v>
      </c>
    </row>
    <row r="452" spans="1:10" ht="15" customHeight="1">
      <c r="A452" s="2" t="s">
        <v>576</v>
      </c>
      <c r="B452" s="3">
        <v>45705</v>
      </c>
      <c r="C452" s="2" t="s">
        <v>574</v>
      </c>
      <c r="D452" s="2" t="s">
        <v>9</v>
      </c>
      <c r="E452" s="15" t="s">
        <v>89</v>
      </c>
      <c r="F452" s="15" t="s">
        <v>154</v>
      </c>
      <c r="G452" s="2" t="s">
        <v>21</v>
      </c>
      <c r="H452" t="str">
        <f>_xlfn.CONCAT(Table1[[#This Row],[Attendance_ID]],Table1[[#This Row],[Date]],Table1[[#This Row],[Employee_ID]])</f>
        <v>ATT0005345705EMP2002</v>
      </c>
      <c r="I452" s="12" t="e">
        <f>VLOOKUP(Table1[[#This Row],[Employee_ID]],[1]!Table1[[Employee_ID]:[Employee_Name]],2,0)</f>
        <v>#REF!</v>
      </c>
      <c r="J452" s="2" t="b">
        <f>Table1[[#This Row],[Login_Time]]&lt;Table1[[#This Row],[Logout_Time]]</f>
        <v>1</v>
      </c>
    </row>
    <row r="453" spans="1:10" ht="15" customHeight="1">
      <c r="A453" s="2" t="s">
        <v>577</v>
      </c>
      <c r="B453" s="3">
        <v>45728</v>
      </c>
      <c r="C453" s="2" t="s">
        <v>574</v>
      </c>
      <c r="D453" s="2" t="s">
        <v>9</v>
      </c>
      <c r="E453" s="15" t="s">
        <v>47</v>
      </c>
      <c r="F453" s="15" t="s">
        <v>261</v>
      </c>
      <c r="G453" s="2" t="s">
        <v>21</v>
      </c>
      <c r="H453" t="str">
        <f>_xlfn.CONCAT(Table1[[#This Row],[Attendance_ID]],Table1[[#This Row],[Date]],Table1[[#This Row],[Employee_ID]])</f>
        <v>ATT0010345728EMP2002</v>
      </c>
      <c r="I453" s="12" t="e">
        <f>VLOOKUP(Table1[[#This Row],[Employee_ID]],[1]!Table1[[Employee_ID]:[Employee_Name]],2,0)</f>
        <v>#REF!</v>
      </c>
      <c r="J453" s="2" t="b">
        <f>Table1[[#This Row],[Login_Time]]&lt;Table1[[#This Row],[Logout_Time]]</f>
        <v>1</v>
      </c>
    </row>
    <row r="454" spans="1:10" ht="15" customHeight="1">
      <c r="A454" s="2" t="s">
        <v>578</v>
      </c>
      <c r="B454" s="3">
        <v>45671</v>
      </c>
      <c r="C454" s="2" t="s">
        <v>574</v>
      </c>
      <c r="D454" s="2" t="s">
        <v>9</v>
      </c>
      <c r="E454" s="15" t="s">
        <v>158</v>
      </c>
      <c r="F454" s="15" t="s">
        <v>110</v>
      </c>
      <c r="G454" s="2" t="s">
        <v>11</v>
      </c>
      <c r="H454" t="str">
        <f>_xlfn.CONCAT(Table1[[#This Row],[Attendance_ID]],Table1[[#This Row],[Date]],Table1[[#This Row],[Employee_ID]])</f>
        <v>ATT0015345671EMP2002</v>
      </c>
      <c r="I454" s="12" t="e">
        <f>VLOOKUP(Table1[[#This Row],[Employee_ID]],[1]!Table1[[Employee_ID]:[Employee_Name]],2,0)</f>
        <v>#REF!</v>
      </c>
      <c r="J454" s="2" t="b">
        <f>Table1[[#This Row],[Login_Time]]&lt;Table1[[#This Row],[Logout_Time]]</f>
        <v>1</v>
      </c>
    </row>
    <row r="455" spans="1:10" ht="15" hidden="1" customHeight="1">
      <c r="A455" s="2" t="s">
        <v>579</v>
      </c>
      <c r="B455" s="3">
        <v>45711</v>
      </c>
      <c r="C455" s="2" t="s">
        <v>574</v>
      </c>
      <c r="D455" s="2" t="s">
        <v>26</v>
      </c>
      <c r="E455" s="15"/>
      <c r="F455" s="15"/>
      <c r="G455" s="2" t="s">
        <v>11</v>
      </c>
      <c r="H455" t="str">
        <f>_xlfn.CONCAT(Table1[[#This Row],[Attendance_ID]],Table1[[#This Row],[Date]],Table1[[#This Row],[Employee_ID]])</f>
        <v>ATT0020345711EMP2002</v>
      </c>
      <c r="I455" s="12" t="e">
        <f>VLOOKUP(Table1[[#This Row],[Employee_ID]],[1]!Table1[[Employee_ID]:[Employee_Name]],2,0)</f>
        <v>#REF!</v>
      </c>
      <c r="J455" s="2" t="b">
        <f>Table1[[#This Row],[Login_Time]]&lt;Table1[[#This Row],[Logout_Time]]</f>
        <v>0</v>
      </c>
    </row>
    <row r="456" spans="1:10" ht="15" customHeight="1">
      <c r="A456" s="2" t="s">
        <v>580</v>
      </c>
      <c r="B456" s="3">
        <v>45719</v>
      </c>
      <c r="C456" s="2" t="s">
        <v>574</v>
      </c>
      <c r="D456" s="2" t="s">
        <v>9</v>
      </c>
      <c r="E456" s="15" t="s">
        <v>34</v>
      </c>
      <c r="F456" s="15" t="s">
        <v>86</v>
      </c>
      <c r="G456" s="2" t="s">
        <v>21</v>
      </c>
      <c r="H456" t="str">
        <f>_xlfn.CONCAT(Table1[[#This Row],[Attendance_ID]],Table1[[#This Row],[Date]],Table1[[#This Row],[Employee_ID]])</f>
        <v>ATT0025345719EMP2002</v>
      </c>
      <c r="I456" s="12" t="e">
        <f>VLOOKUP(Table1[[#This Row],[Employee_ID]],[1]!Table1[[Employee_ID]:[Employee_Name]],2,0)</f>
        <v>#REF!</v>
      </c>
      <c r="J456" s="2" t="b">
        <f>Table1[[#This Row],[Login_Time]]&lt;Table1[[#This Row],[Logout_Time]]</f>
        <v>1</v>
      </c>
    </row>
    <row r="457" spans="1:10" ht="15" customHeight="1">
      <c r="A457" s="2" t="s">
        <v>581</v>
      </c>
      <c r="B457" s="3">
        <v>45703</v>
      </c>
      <c r="C457" s="2" t="s">
        <v>574</v>
      </c>
      <c r="D457" s="2" t="s">
        <v>42</v>
      </c>
      <c r="E457" s="15" t="s">
        <v>226</v>
      </c>
      <c r="F457" s="15" t="s">
        <v>113</v>
      </c>
      <c r="G457" s="2" t="s">
        <v>11</v>
      </c>
      <c r="H457" t="str">
        <f>_xlfn.CONCAT(Table1[[#This Row],[Attendance_ID]],Table1[[#This Row],[Date]],Table1[[#This Row],[Employee_ID]])</f>
        <v>ATT0030345703EMP2002</v>
      </c>
      <c r="I457" s="12" t="e">
        <f>VLOOKUP(Table1[[#This Row],[Employee_ID]],[1]!Table1[[Employee_ID]:[Employee_Name]],2,0)</f>
        <v>#REF!</v>
      </c>
      <c r="J457" s="2" t="b">
        <f>Table1[[#This Row],[Login_Time]]&lt;Table1[[#This Row],[Logout_Time]]</f>
        <v>1</v>
      </c>
    </row>
    <row r="458" spans="1:10" ht="15" hidden="1" customHeight="1">
      <c r="A458" s="2" t="s">
        <v>582</v>
      </c>
      <c r="B458" s="3">
        <v>45665</v>
      </c>
      <c r="C458" s="2" t="s">
        <v>574</v>
      </c>
      <c r="D458" s="2" t="s">
        <v>26</v>
      </c>
      <c r="E458" s="15"/>
      <c r="F458" s="15"/>
      <c r="G458" s="2" t="s">
        <v>11</v>
      </c>
      <c r="H458" t="str">
        <f>_xlfn.CONCAT(Table1[[#This Row],[Attendance_ID]],Table1[[#This Row],[Date]],Table1[[#This Row],[Employee_ID]])</f>
        <v>ATT0035345665EMP2002</v>
      </c>
      <c r="I458" s="12" t="e">
        <f>VLOOKUP(Table1[[#This Row],[Employee_ID]],[1]!Table1[[Employee_ID]:[Employee_Name]],2,0)</f>
        <v>#REF!</v>
      </c>
      <c r="J458" s="2" t="b">
        <f>Table1[[#This Row],[Login_Time]]&lt;Table1[[#This Row],[Logout_Time]]</f>
        <v>0</v>
      </c>
    </row>
    <row r="459" spans="1:10" ht="15" hidden="1" customHeight="1">
      <c r="A459" s="2" t="s">
        <v>583</v>
      </c>
      <c r="B459" s="3">
        <v>45706</v>
      </c>
      <c r="C459" s="2" t="s">
        <v>574</v>
      </c>
      <c r="D459" s="2" t="s">
        <v>70</v>
      </c>
      <c r="E459" s="15"/>
      <c r="F459" s="15"/>
      <c r="G459" s="2" t="s">
        <v>11</v>
      </c>
      <c r="H459" t="str">
        <f>_xlfn.CONCAT(Table1[[#This Row],[Attendance_ID]],Table1[[#This Row],[Date]],Table1[[#This Row],[Employee_ID]])</f>
        <v>ATT0040345706EMP2002</v>
      </c>
      <c r="I459" s="12" t="e">
        <f>VLOOKUP(Table1[[#This Row],[Employee_ID]],[1]!Table1[[Employee_ID]:[Employee_Name]],2,0)</f>
        <v>#REF!</v>
      </c>
      <c r="J459" s="2" t="b">
        <f>Table1[[#This Row],[Login_Time]]&lt;Table1[[#This Row],[Logout_Time]]</f>
        <v>0</v>
      </c>
    </row>
    <row r="460" spans="1:10" ht="15" customHeight="1">
      <c r="A460" s="2" t="s">
        <v>584</v>
      </c>
      <c r="B460" s="3">
        <v>45707</v>
      </c>
      <c r="C460" s="2" t="s">
        <v>574</v>
      </c>
      <c r="D460" s="2" t="s">
        <v>42</v>
      </c>
      <c r="E460" s="15" t="s">
        <v>105</v>
      </c>
      <c r="F460" s="15" t="s">
        <v>72</v>
      </c>
      <c r="G460" s="2" t="s">
        <v>21</v>
      </c>
      <c r="H460" t="str">
        <f>_xlfn.CONCAT(Table1[[#This Row],[Attendance_ID]],Table1[[#This Row],[Date]],Table1[[#This Row],[Employee_ID]])</f>
        <v>ATT0045345707EMP2002</v>
      </c>
      <c r="I460" s="12" t="e">
        <f>VLOOKUP(Table1[[#This Row],[Employee_ID]],[1]!Table1[[Employee_ID]:[Employee_Name]],2,0)</f>
        <v>#REF!</v>
      </c>
      <c r="J460" s="2" t="b">
        <f>Table1[[#This Row],[Login_Time]]&lt;Table1[[#This Row],[Logout_Time]]</f>
        <v>1</v>
      </c>
    </row>
    <row r="461" spans="1:10" ht="15" hidden="1" customHeight="1">
      <c r="A461" s="2" t="s">
        <v>585</v>
      </c>
      <c r="B461" s="3">
        <v>45738</v>
      </c>
      <c r="C461" s="2" t="s">
        <v>586</v>
      </c>
      <c r="D461" s="2" t="s">
        <v>587</v>
      </c>
      <c r="E461" s="15"/>
      <c r="F461" s="15"/>
      <c r="G461" s="2" t="s">
        <v>11</v>
      </c>
      <c r="H461" t="str">
        <f>_xlfn.CONCAT(Table1[[#This Row],[Attendance_ID]],Table1[[#This Row],[Date]],Table1[[#This Row],[Employee_ID]])</f>
        <v>ATT0000445738EMP2003</v>
      </c>
      <c r="I461" s="12" t="e">
        <f>VLOOKUP(Table1[[#This Row],[Employee_ID]],[1]!Table1[[Employee_ID]:[Employee_Name]],2,0)</f>
        <v>#REF!</v>
      </c>
      <c r="J461" s="2" t="b">
        <f>Table1[[#This Row],[Login_Time]]&lt;Table1[[#This Row],[Logout_Time]]</f>
        <v>0</v>
      </c>
    </row>
    <row r="462" spans="1:10" ht="15" customHeight="1">
      <c r="A462" s="2" t="s">
        <v>588</v>
      </c>
      <c r="B462" s="3">
        <v>45744</v>
      </c>
      <c r="C462" s="2" t="s">
        <v>586</v>
      </c>
      <c r="D462" s="2" t="s">
        <v>42</v>
      </c>
      <c r="E462" s="15" t="s">
        <v>136</v>
      </c>
      <c r="F462" s="15" t="s">
        <v>37</v>
      </c>
      <c r="G462" s="2" t="s">
        <v>21</v>
      </c>
      <c r="H462" t="str">
        <f>_xlfn.CONCAT(Table1[[#This Row],[Attendance_ID]],Table1[[#This Row],[Date]],Table1[[#This Row],[Employee_ID]])</f>
        <v>ATT0005445744EMP2003</v>
      </c>
      <c r="I462" s="12" t="e">
        <f>VLOOKUP(Table1[[#This Row],[Employee_ID]],[1]!Table1[[Employee_ID]:[Employee_Name]],2,0)</f>
        <v>#REF!</v>
      </c>
      <c r="J462" s="2" t="b">
        <f>Table1[[#This Row],[Login_Time]]&lt;Table1[[#This Row],[Logout_Time]]</f>
        <v>1</v>
      </c>
    </row>
    <row r="463" spans="1:10" ht="15" customHeight="1">
      <c r="A463" s="2" t="s">
        <v>589</v>
      </c>
      <c r="B463" s="3">
        <v>45742</v>
      </c>
      <c r="C463" s="2" t="s">
        <v>586</v>
      </c>
      <c r="D463" s="2" t="s">
        <v>42</v>
      </c>
      <c r="E463" s="15" t="s">
        <v>23</v>
      </c>
      <c r="F463" s="15" t="s">
        <v>48</v>
      </c>
      <c r="G463" s="2" t="s">
        <v>11</v>
      </c>
      <c r="H463" t="str">
        <f>_xlfn.CONCAT(Table1[[#This Row],[Attendance_ID]],Table1[[#This Row],[Date]],Table1[[#This Row],[Employee_ID]])</f>
        <v>ATT0010445742EMP2003</v>
      </c>
      <c r="I463" s="12" t="e">
        <f>VLOOKUP(Table1[[#This Row],[Employee_ID]],[1]!Table1[[Employee_ID]:[Employee_Name]],2,0)</f>
        <v>#REF!</v>
      </c>
      <c r="J463" s="2" t="b">
        <f>Table1[[#This Row],[Login_Time]]&lt;Table1[[#This Row],[Logout_Time]]</f>
        <v>1</v>
      </c>
    </row>
    <row r="464" spans="1:10" ht="15" customHeight="1">
      <c r="A464" s="2" t="s">
        <v>590</v>
      </c>
      <c r="B464" s="3">
        <v>45718</v>
      </c>
      <c r="C464" s="2" t="s">
        <v>586</v>
      </c>
      <c r="D464" s="2" t="s">
        <v>9</v>
      </c>
      <c r="E464" s="15" t="s">
        <v>80</v>
      </c>
      <c r="F464" s="15" t="s">
        <v>78</v>
      </c>
      <c r="G464" s="2" t="s">
        <v>21</v>
      </c>
      <c r="H464" t="str">
        <f>_xlfn.CONCAT(Table1[[#This Row],[Attendance_ID]],Table1[[#This Row],[Date]],Table1[[#This Row],[Employee_ID]])</f>
        <v>ATT0015445718EMP2003</v>
      </c>
      <c r="I464" s="12" t="e">
        <f>VLOOKUP(Table1[[#This Row],[Employee_ID]],[1]!Table1[[Employee_ID]:[Employee_Name]],2,0)</f>
        <v>#REF!</v>
      </c>
      <c r="J464" s="2" t="b">
        <f>Table1[[#This Row],[Login_Time]]&lt;Table1[[#This Row],[Logout_Time]]</f>
        <v>1</v>
      </c>
    </row>
    <row r="465" spans="1:10" ht="15" customHeight="1">
      <c r="A465" s="2" t="s">
        <v>591</v>
      </c>
      <c r="B465" s="3">
        <v>45664</v>
      </c>
      <c r="C465" s="2" t="s">
        <v>586</v>
      </c>
      <c r="D465" s="2" t="s">
        <v>42</v>
      </c>
      <c r="E465" s="15" t="s">
        <v>31</v>
      </c>
      <c r="F465" s="15" t="s">
        <v>37</v>
      </c>
      <c r="G465" s="2" t="s">
        <v>21</v>
      </c>
      <c r="H465" t="str">
        <f>_xlfn.CONCAT(Table1[[#This Row],[Attendance_ID]],Table1[[#This Row],[Date]],Table1[[#This Row],[Employee_ID]])</f>
        <v>ATT0020445664EMP2003</v>
      </c>
      <c r="I465" s="12" t="e">
        <f>VLOOKUP(Table1[[#This Row],[Employee_ID]],[1]!Table1[[Employee_ID]:[Employee_Name]],2,0)</f>
        <v>#REF!</v>
      </c>
      <c r="J465" s="2" t="b">
        <f>Table1[[#This Row],[Login_Time]]&lt;Table1[[#This Row],[Logout_Time]]</f>
        <v>1</v>
      </c>
    </row>
    <row r="466" spans="1:10" ht="15" customHeight="1">
      <c r="A466" s="2" t="s">
        <v>592</v>
      </c>
      <c r="B466" s="3">
        <v>45695</v>
      </c>
      <c r="C466" s="2" t="s">
        <v>586</v>
      </c>
      <c r="D466" s="2" t="s">
        <v>9</v>
      </c>
      <c r="E466" s="15" t="s">
        <v>57</v>
      </c>
      <c r="F466" s="15" t="s">
        <v>90</v>
      </c>
      <c r="G466" s="2" t="s">
        <v>11</v>
      </c>
      <c r="H466" t="str">
        <f>_xlfn.CONCAT(Table1[[#This Row],[Attendance_ID]],Table1[[#This Row],[Date]],Table1[[#This Row],[Employee_ID]])</f>
        <v>ATT0025445695EMP2003</v>
      </c>
      <c r="I466" s="12" t="e">
        <f>VLOOKUP(Table1[[#This Row],[Employee_ID]],[1]!Table1[[Employee_ID]:[Employee_Name]],2,0)</f>
        <v>#REF!</v>
      </c>
      <c r="J466" s="2" t="b">
        <f>Table1[[#This Row],[Login_Time]]&lt;Table1[[#This Row],[Logout_Time]]</f>
        <v>1</v>
      </c>
    </row>
    <row r="467" spans="1:10" ht="15" customHeight="1">
      <c r="A467" s="2" t="s">
        <v>593</v>
      </c>
      <c r="B467" s="3">
        <v>45706</v>
      </c>
      <c r="C467" s="2" t="s">
        <v>586</v>
      </c>
      <c r="D467" s="2" t="s">
        <v>9</v>
      </c>
      <c r="E467" s="15" t="s">
        <v>61</v>
      </c>
      <c r="F467" s="15" t="s">
        <v>113</v>
      </c>
      <c r="G467" s="2" t="s">
        <v>21</v>
      </c>
      <c r="H467" t="str">
        <f>_xlfn.CONCAT(Table1[[#This Row],[Attendance_ID]],Table1[[#This Row],[Date]],Table1[[#This Row],[Employee_ID]])</f>
        <v>ATT0030445706EMP2003</v>
      </c>
      <c r="I467" s="12" t="e">
        <f>VLOOKUP(Table1[[#This Row],[Employee_ID]],[1]!Table1[[Employee_ID]:[Employee_Name]],2,0)</f>
        <v>#REF!</v>
      </c>
      <c r="J467" s="2" t="b">
        <f>Table1[[#This Row],[Login_Time]]&lt;Table1[[#This Row],[Logout_Time]]</f>
        <v>1</v>
      </c>
    </row>
    <row r="468" spans="1:10" ht="15" customHeight="1">
      <c r="A468" s="2" t="s">
        <v>594</v>
      </c>
      <c r="B468" s="3">
        <v>45703</v>
      </c>
      <c r="C468" s="2" t="s">
        <v>586</v>
      </c>
      <c r="D468" s="2" t="s">
        <v>42</v>
      </c>
      <c r="E468" s="15" t="s">
        <v>115</v>
      </c>
      <c r="F468" s="15" t="s">
        <v>154</v>
      </c>
      <c r="G468" s="2" t="s">
        <v>21</v>
      </c>
      <c r="H468" t="str">
        <f>_xlfn.CONCAT(Table1[[#This Row],[Attendance_ID]],Table1[[#This Row],[Date]],Table1[[#This Row],[Employee_ID]])</f>
        <v>ATT0035445703EMP2003</v>
      </c>
      <c r="I468" s="12" t="e">
        <f>VLOOKUP(Table1[[#This Row],[Employee_ID]],[1]!Table1[[Employee_ID]:[Employee_Name]],2,0)</f>
        <v>#REF!</v>
      </c>
      <c r="J468" s="2" t="b">
        <f>Table1[[#This Row],[Login_Time]]&lt;Table1[[#This Row],[Logout_Time]]</f>
        <v>1</v>
      </c>
    </row>
    <row r="469" spans="1:10" ht="15" customHeight="1">
      <c r="A469" s="2" t="s">
        <v>595</v>
      </c>
      <c r="B469" s="3">
        <v>45690</v>
      </c>
      <c r="C469" s="2" t="s">
        <v>586</v>
      </c>
      <c r="D469" s="2" t="s">
        <v>42</v>
      </c>
      <c r="E469" s="15" t="s">
        <v>40</v>
      </c>
      <c r="F469" s="15" t="s">
        <v>14</v>
      </c>
      <c r="G469" s="2" t="s">
        <v>11</v>
      </c>
      <c r="H469" t="str">
        <f>_xlfn.CONCAT(Table1[[#This Row],[Attendance_ID]],Table1[[#This Row],[Date]],Table1[[#This Row],[Employee_ID]])</f>
        <v>ATT0040445690EMP2003</v>
      </c>
      <c r="I469" s="12" t="e">
        <f>VLOOKUP(Table1[[#This Row],[Employee_ID]],[1]!Table1[[Employee_ID]:[Employee_Name]],2,0)</f>
        <v>#REF!</v>
      </c>
      <c r="J469" s="2" t="b">
        <f>Table1[[#This Row],[Login_Time]]&lt;Table1[[#This Row],[Logout_Time]]</f>
        <v>1</v>
      </c>
    </row>
    <row r="470" spans="1:10" ht="15" customHeight="1">
      <c r="A470" s="2" t="s">
        <v>596</v>
      </c>
      <c r="B470" s="3">
        <v>45677</v>
      </c>
      <c r="C470" s="2" t="s">
        <v>586</v>
      </c>
      <c r="D470" s="2" t="s">
        <v>9</v>
      </c>
      <c r="E470" s="15" t="s">
        <v>28</v>
      </c>
      <c r="F470" s="15" t="s">
        <v>75</v>
      </c>
      <c r="G470" s="2" t="s">
        <v>21</v>
      </c>
      <c r="H470" t="str">
        <f>_xlfn.CONCAT(Table1[[#This Row],[Attendance_ID]],Table1[[#This Row],[Date]],Table1[[#This Row],[Employee_ID]])</f>
        <v>ATT0045445677EMP2003</v>
      </c>
      <c r="I470" s="12" t="e">
        <f>VLOOKUP(Table1[[#This Row],[Employee_ID]],[1]!Table1[[Employee_ID]:[Employee_Name]],2,0)</f>
        <v>#REF!</v>
      </c>
      <c r="J470" s="2" t="b">
        <f>Table1[[#This Row],[Login_Time]]&lt;Table1[[#This Row],[Logout_Time]]</f>
        <v>1</v>
      </c>
    </row>
    <row r="471" spans="1:10" ht="15" customHeight="1">
      <c r="A471" s="2" t="s">
        <v>597</v>
      </c>
      <c r="B471" s="3">
        <v>45696</v>
      </c>
      <c r="C471" s="2" t="s">
        <v>598</v>
      </c>
      <c r="D471" s="2" t="s">
        <v>42</v>
      </c>
      <c r="E471" s="15" t="s">
        <v>89</v>
      </c>
      <c r="F471" s="15" t="s">
        <v>106</v>
      </c>
      <c r="G471" s="2" t="s">
        <v>21</v>
      </c>
      <c r="H471" t="str">
        <f>_xlfn.CONCAT(Table1[[#This Row],[Attendance_ID]],Table1[[#This Row],[Date]],Table1[[#This Row],[Employee_ID]])</f>
        <v>ATT0000545696EMP2004</v>
      </c>
      <c r="I471" s="12" t="e">
        <f>VLOOKUP(Table1[[#This Row],[Employee_ID]],[1]!Table1[[Employee_ID]:[Employee_Name]],2,0)</f>
        <v>#REF!</v>
      </c>
      <c r="J471" s="2" t="b">
        <f>Table1[[#This Row],[Login_Time]]&lt;Table1[[#This Row],[Logout_Time]]</f>
        <v>1</v>
      </c>
    </row>
    <row r="472" spans="1:10" ht="15" hidden="1" customHeight="1">
      <c r="A472" s="2" t="s">
        <v>599</v>
      </c>
      <c r="B472" s="3">
        <v>45696</v>
      </c>
      <c r="C472" s="2" t="s">
        <v>598</v>
      </c>
      <c r="D472" s="2" t="s">
        <v>26</v>
      </c>
      <c r="E472" s="15"/>
      <c r="F472" s="15"/>
      <c r="G472" s="2" t="s">
        <v>11</v>
      </c>
      <c r="H472" t="str">
        <f>_xlfn.CONCAT(Table1[[#This Row],[Attendance_ID]],Table1[[#This Row],[Date]],Table1[[#This Row],[Employee_ID]])</f>
        <v>ATT0005545696EMP2004</v>
      </c>
      <c r="I472" s="12" t="e">
        <f>VLOOKUP(Table1[[#This Row],[Employee_ID]],[1]!Table1[[Employee_ID]:[Employee_Name]],2,0)</f>
        <v>#REF!</v>
      </c>
      <c r="J472" s="2" t="b">
        <f>Table1[[#This Row],[Login_Time]]&lt;Table1[[#This Row],[Logout_Time]]</f>
        <v>0</v>
      </c>
    </row>
    <row r="473" spans="1:10" ht="15" hidden="1" customHeight="1">
      <c r="A473" s="2" t="s">
        <v>600</v>
      </c>
      <c r="B473" s="3">
        <v>45730</v>
      </c>
      <c r="C473" s="2" t="s">
        <v>598</v>
      </c>
      <c r="D473" s="2" t="s">
        <v>26</v>
      </c>
      <c r="E473" s="15"/>
      <c r="F473" s="15"/>
      <c r="G473" s="2" t="s">
        <v>11</v>
      </c>
      <c r="H473" t="str">
        <f>_xlfn.CONCAT(Table1[[#This Row],[Attendance_ID]],Table1[[#This Row],[Date]],Table1[[#This Row],[Employee_ID]])</f>
        <v>ATT0010545730EMP2004</v>
      </c>
      <c r="I473" s="12" t="e">
        <f>VLOOKUP(Table1[[#This Row],[Employee_ID]],[1]!Table1[[Employee_ID]:[Employee_Name]],2,0)</f>
        <v>#REF!</v>
      </c>
      <c r="J473" s="2" t="b">
        <f>Table1[[#This Row],[Login_Time]]&lt;Table1[[#This Row],[Logout_Time]]</f>
        <v>0</v>
      </c>
    </row>
    <row r="474" spans="1:10" ht="15" customHeight="1">
      <c r="A474" s="2" t="s">
        <v>601</v>
      </c>
      <c r="B474" s="3">
        <v>45706</v>
      </c>
      <c r="C474" s="2" t="s">
        <v>598</v>
      </c>
      <c r="D474" s="2" t="s">
        <v>42</v>
      </c>
      <c r="E474" s="15" t="s">
        <v>59</v>
      </c>
      <c r="F474" s="15" t="s">
        <v>113</v>
      </c>
      <c r="G474" s="2" t="s">
        <v>21</v>
      </c>
      <c r="H474" t="str">
        <f>_xlfn.CONCAT(Table1[[#This Row],[Attendance_ID]],Table1[[#This Row],[Date]],Table1[[#This Row],[Employee_ID]])</f>
        <v>ATT0015545706EMP2004</v>
      </c>
      <c r="I474" s="12" t="e">
        <f>VLOOKUP(Table1[[#This Row],[Employee_ID]],[1]!Table1[[Employee_ID]:[Employee_Name]],2,0)</f>
        <v>#REF!</v>
      </c>
      <c r="J474" s="2" t="b">
        <f>Table1[[#This Row],[Login_Time]]&lt;Table1[[#This Row],[Logout_Time]]</f>
        <v>1</v>
      </c>
    </row>
    <row r="475" spans="1:10" ht="15" hidden="1" customHeight="1">
      <c r="A475" s="2" t="s">
        <v>602</v>
      </c>
      <c r="B475" s="3">
        <v>45700</v>
      </c>
      <c r="C475" s="2" t="s">
        <v>598</v>
      </c>
      <c r="D475" s="2" t="s">
        <v>70</v>
      </c>
      <c r="E475" s="15"/>
      <c r="F475" s="15"/>
      <c r="G475" s="2" t="s">
        <v>11</v>
      </c>
      <c r="H475" t="str">
        <f>_xlfn.CONCAT(Table1[[#This Row],[Attendance_ID]],Table1[[#This Row],[Date]],Table1[[#This Row],[Employee_ID]])</f>
        <v>ATT0020545700EMP2004</v>
      </c>
      <c r="I475" s="12" t="e">
        <f>VLOOKUP(Table1[[#This Row],[Employee_ID]],[1]!Table1[[Employee_ID]:[Employee_Name]],2,0)</f>
        <v>#REF!</v>
      </c>
      <c r="J475" s="2" t="b">
        <f>Table1[[#This Row],[Login_Time]]&lt;Table1[[#This Row],[Logout_Time]]</f>
        <v>0</v>
      </c>
    </row>
    <row r="476" spans="1:10" ht="15" customHeight="1">
      <c r="A476" s="2" t="s">
        <v>603</v>
      </c>
      <c r="B476" s="3">
        <v>45700</v>
      </c>
      <c r="C476" s="2" t="s">
        <v>598</v>
      </c>
      <c r="D476" s="2" t="s">
        <v>9</v>
      </c>
      <c r="E476" s="15" t="s">
        <v>31</v>
      </c>
      <c r="F476" s="15" t="s">
        <v>66</v>
      </c>
      <c r="G476" s="2" t="s">
        <v>21</v>
      </c>
      <c r="H476" t="str">
        <f>_xlfn.CONCAT(Table1[[#This Row],[Attendance_ID]],Table1[[#This Row],[Date]],Table1[[#This Row],[Employee_ID]])</f>
        <v>ATT0025545700EMP2004</v>
      </c>
      <c r="I476" s="12" t="e">
        <f>VLOOKUP(Table1[[#This Row],[Employee_ID]],[1]!Table1[[Employee_ID]:[Employee_Name]],2,0)</f>
        <v>#REF!</v>
      </c>
      <c r="J476" s="2" t="b">
        <f>Table1[[#This Row],[Login_Time]]&lt;Table1[[#This Row],[Logout_Time]]</f>
        <v>1</v>
      </c>
    </row>
    <row r="477" spans="1:10" ht="15" customHeight="1">
      <c r="A477" s="2" t="s">
        <v>604</v>
      </c>
      <c r="B477" s="3">
        <v>45744</v>
      </c>
      <c r="C477" s="2" t="s">
        <v>598</v>
      </c>
      <c r="D477" s="2" t="s">
        <v>9</v>
      </c>
      <c r="E477" s="15" t="s">
        <v>40</v>
      </c>
      <c r="F477" s="15" t="s">
        <v>113</v>
      </c>
      <c r="G477" s="2" t="s">
        <v>11</v>
      </c>
      <c r="H477" t="str">
        <f>_xlfn.CONCAT(Table1[[#This Row],[Attendance_ID]],Table1[[#This Row],[Date]],Table1[[#This Row],[Employee_ID]])</f>
        <v>ATT0030545744EMP2004</v>
      </c>
      <c r="I477" s="12" t="e">
        <f>VLOOKUP(Table1[[#This Row],[Employee_ID]],[1]!Table1[[Employee_ID]:[Employee_Name]],2,0)</f>
        <v>#REF!</v>
      </c>
      <c r="J477" s="2" t="b">
        <f>Table1[[#This Row],[Login_Time]]&lt;Table1[[#This Row],[Logout_Time]]</f>
        <v>1</v>
      </c>
    </row>
    <row r="478" spans="1:10" ht="15" customHeight="1">
      <c r="A478" s="2" t="s">
        <v>605</v>
      </c>
      <c r="B478" s="3">
        <v>45698</v>
      </c>
      <c r="C478" s="2" t="s">
        <v>598</v>
      </c>
      <c r="D478" s="2" t="s">
        <v>42</v>
      </c>
      <c r="E478" s="15" t="s">
        <v>50</v>
      </c>
      <c r="F478" s="15" t="s">
        <v>55</v>
      </c>
      <c r="G478" s="2" t="s">
        <v>21</v>
      </c>
      <c r="H478" t="str">
        <f>_xlfn.CONCAT(Table1[[#This Row],[Attendance_ID]],Table1[[#This Row],[Date]],Table1[[#This Row],[Employee_ID]])</f>
        <v>ATT0035545698EMP2004</v>
      </c>
      <c r="I478" s="12" t="e">
        <f>VLOOKUP(Table1[[#This Row],[Employee_ID]],[1]!Table1[[Employee_ID]:[Employee_Name]],2,0)</f>
        <v>#REF!</v>
      </c>
      <c r="J478" s="2" t="b">
        <f>Table1[[#This Row],[Login_Time]]&lt;Table1[[#This Row],[Logout_Time]]</f>
        <v>1</v>
      </c>
    </row>
    <row r="479" spans="1:10" ht="15" customHeight="1">
      <c r="A479" s="2" t="s">
        <v>606</v>
      </c>
      <c r="B479" s="3">
        <v>45744</v>
      </c>
      <c r="C479" s="2" t="s">
        <v>598</v>
      </c>
      <c r="D479" s="2" t="s">
        <v>9</v>
      </c>
      <c r="E479" s="15" t="s">
        <v>19</v>
      </c>
      <c r="F479" s="15" t="s">
        <v>14</v>
      </c>
      <c r="G479" s="2" t="s">
        <v>21</v>
      </c>
      <c r="H479" t="str">
        <f>_xlfn.CONCAT(Table1[[#This Row],[Attendance_ID]],Table1[[#This Row],[Date]],Table1[[#This Row],[Employee_ID]])</f>
        <v>ATT0040545744EMP2004</v>
      </c>
      <c r="I479" s="12" t="e">
        <f>VLOOKUP(Table1[[#This Row],[Employee_ID]],[1]!Table1[[Employee_ID]:[Employee_Name]],2,0)</f>
        <v>#REF!</v>
      </c>
      <c r="J479" s="2" t="b">
        <f>Table1[[#This Row],[Login_Time]]&lt;Table1[[#This Row],[Logout_Time]]</f>
        <v>1</v>
      </c>
    </row>
    <row r="480" spans="1:10" ht="15" hidden="1" customHeight="1">
      <c r="A480" s="2" t="s">
        <v>607</v>
      </c>
      <c r="B480" s="3">
        <v>45659</v>
      </c>
      <c r="C480" s="2" t="s">
        <v>598</v>
      </c>
      <c r="D480" s="2" t="s">
        <v>26</v>
      </c>
      <c r="E480" s="15"/>
      <c r="F480" s="15"/>
      <c r="G480" s="2" t="s">
        <v>11</v>
      </c>
      <c r="H480" t="str">
        <f>_xlfn.CONCAT(Table1[[#This Row],[Attendance_ID]],Table1[[#This Row],[Date]],Table1[[#This Row],[Employee_ID]])</f>
        <v>ATT0045545659EMP2004</v>
      </c>
      <c r="I480" s="12" t="e">
        <f>VLOOKUP(Table1[[#This Row],[Employee_ID]],[1]!Table1[[Employee_ID]:[Employee_Name]],2,0)</f>
        <v>#REF!</v>
      </c>
      <c r="J480" s="2" t="b">
        <f>Table1[[#This Row],[Login_Time]]&lt;Table1[[#This Row],[Logout_Time]]</f>
        <v>0</v>
      </c>
    </row>
    <row r="481" spans="1:10" ht="15" hidden="1" customHeight="1">
      <c r="A481" s="2" t="s">
        <v>608</v>
      </c>
      <c r="B481" s="3">
        <v>45687</v>
      </c>
      <c r="C481" s="2" t="s">
        <v>609</v>
      </c>
      <c r="D481" s="2" t="s">
        <v>70</v>
      </c>
      <c r="E481" s="15"/>
      <c r="F481" s="15"/>
      <c r="G481" s="2" t="s">
        <v>11</v>
      </c>
      <c r="H481" t="str">
        <f>_xlfn.CONCAT(Table1[[#This Row],[Attendance_ID]],Table1[[#This Row],[Date]],Table1[[#This Row],[Employee_ID]])</f>
        <v>ATT0000645687EMP2005</v>
      </c>
      <c r="I481" s="12" t="e">
        <f>VLOOKUP(Table1[[#This Row],[Employee_ID]],[1]!Table1[[Employee_ID]:[Employee_Name]],2,0)</f>
        <v>#REF!</v>
      </c>
      <c r="J481" s="2" t="b">
        <f>Table1[[#This Row],[Login_Time]]&lt;Table1[[#This Row],[Logout_Time]]</f>
        <v>0</v>
      </c>
    </row>
    <row r="482" spans="1:10" ht="15" hidden="1" customHeight="1">
      <c r="A482" s="2" t="s">
        <v>611</v>
      </c>
      <c r="B482" s="3">
        <v>45672</v>
      </c>
      <c r="C482" s="2" t="s">
        <v>609</v>
      </c>
      <c r="D482" s="2" t="s">
        <v>70</v>
      </c>
      <c r="E482" s="15"/>
      <c r="F482" s="15"/>
      <c r="G482" s="2" t="s">
        <v>11</v>
      </c>
      <c r="H482" t="str">
        <f>_xlfn.CONCAT(Table1[[#This Row],[Attendance_ID]],Table1[[#This Row],[Date]],Table1[[#This Row],[Employee_ID]])</f>
        <v>ATT0005645672EMP2005</v>
      </c>
      <c r="I482" s="12" t="e">
        <f>VLOOKUP(Table1[[#This Row],[Employee_ID]],[1]!Table1[[Employee_ID]:[Employee_Name]],2,0)</f>
        <v>#REF!</v>
      </c>
      <c r="J482" s="2" t="b">
        <f>Table1[[#This Row],[Login_Time]]&lt;Table1[[#This Row],[Logout_Time]]</f>
        <v>0</v>
      </c>
    </row>
    <row r="483" spans="1:10" ht="15" hidden="1" customHeight="1">
      <c r="A483" s="2" t="s">
        <v>612</v>
      </c>
      <c r="B483" s="3">
        <v>45662</v>
      </c>
      <c r="C483" s="2" t="s">
        <v>609</v>
      </c>
      <c r="D483" s="2" t="s">
        <v>26</v>
      </c>
      <c r="E483" s="15"/>
      <c r="F483" s="15"/>
      <c r="G483" s="2" t="s">
        <v>11</v>
      </c>
      <c r="H483" t="str">
        <f>_xlfn.CONCAT(Table1[[#This Row],[Attendance_ID]],Table1[[#This Row],[Date]],Table1[[#This Row],[Employee_ID]])</f>
        <v>ATT0010645662EMP2005</v>
      </c>
      <c r="I483" s="12" t="e">
        <f>VLOOKUP(Table1[[#This Row],[Employee_ID]],[1]!Table1[[Employee_ID]:[Employee_Name]],2,0)</f>
        <v>#REF!</v>
      </c>
      <c r="J483" s="2" t="b">
        <f>Table1[[#This Row],[Login_Time]]&lt;Table1[[#This Row],[Logout_Time]]</f>
        <v>0</v>
      </c>
    </row>
    <row r="484" spans="1:10" ht="15" hidden="1" customHeight="1">
      <c r="A484" s="2" t="s">
        <v>613</v>
      </c>
      <c r="B484" s="3">
        <v>45668</v>
      </c>
      <c r="C484" s="2" t="s">
        <v>609</v>
      </c>
      <c r="D484" s="2" t="s">
        <v>26</v>
      </c>
      <c r="E484" s="15"/>
      <c r="F484" s="15"/>
      <c r="G484" s="2" t="s">
        <v>11</v>
      </c>
      <c r="H484" t="str">
        <f>_xlfn.CONCAT(Table1[[#This Row],[Attendance_ID]],Table1[[#This Row],[Date]],Table1[[#This Row],[Employee_ID]])</f>
        <v>ATT0015645668EMP2005</v>
      </c>
      <c r="I484" s="12" t="e">
        <f>VLOOKUP(Table1[[#This Row],[Employee_ID]],[1]!Table1[[Employee_ID]:[Employee_Name]],2,0)</f>
        <v>#REF!</v>
      </c>
      <c r="J484" s="2" t="b">
        <f>Table1[[#This Row],[Login_Time]]&lt;Table1[[#This Row],[Logout_Time]]</f>
        <v>0</v>
      </c>
    </row>
    <row r="485" spans="1:10" ht="15" hidden="1" customHeight="1">
      <c r="A485" s="2" t="s">
        <v>614</v>
      </c>
      <c r="B485" s="3">
        <v>45746</v>
      </c>
      <c r="C485" s="2" t="s">
        <v>609</v>
      </c>
      <c r="D485" s="2" t="s">
        <v>70</v>
      </c>
      <c r="E485" s="15"/>
      <c r="F485" s="15"/>
      <c r="G485" s="2" t="s">
        <v>11</v>
      </c>
      <c r="H485" t="str">
        <f>_xlfn.CONCAT(Table1[[#This Row],[Attendance_ID]],Table1[[#This Row],[Date]],Table1[[#This Row],[Employee_ID]])</f>
        <v>ATT0020645746EMP2005</v>
      </c>
      <c r="I485" s="12" t="e">
        <f>VLOOKUP(Table1[[#This Row],[Employee_ID]],[1]!Table1[[Employee_ID]:[Employee_Name]],2,0)</f>
        <v>#REF!</v>
      </c>
      <c r="J485" s="2" t="b">
        <f>Table1[[#This Row],[Login_Time]]&lt;Table1[[#This Row],[Logout_Time]]</f>
        <v>0</v>
      </c>
    </row>
    <row r="486" spans="1:10" ht="15" customHeight="1">
      <c r="A486" s="2" t="s">
        <v>615</v>
      </c>
      <c r="B486" s="3">
        <v>45741</v>
      </c>
      <c r="C486" s="2" t="s">
        <v>609</v>
      </c>
      <c r="D486" s="2" t="s">
        <v>9</v>
      </c>
      <c r="E486" s="15" t="s">
        <v>149</v>
      </c>
      <c r="F486" s="15" t="s">
        <v>211</v>
      </c>
      <c r="G486" s="2" t="s">
        <v>21</v>
      </c>
      <c r="H486" t="str">
        <f>_xlfn.CONCAT(Table1[[#This Row],[Attendance_ID]],Table1[[#This Row],[Date]],Table1[[#This Row],[Employee_ID]])</f>
        <v>ATT0025645741EMP2005</v>
      </c>
      <c r="I486" s="12" t="e">
        <f>VLOOKUP(Table1[[#This Row],[Employee_ID]],[1]!Table1[[Employee_ID]:[Employee_Name]],2,0)</f>
        <v>#REF!</v>
      </c>
      <c r="J486" s="2" t="b">
        <f>Table1[[#This Row],[Login_Time]]&lt;Table1[[#This Row],[Logout_Time]]</f>
        <v>1</v>
      </c>
    </row>
    <row r="487" spans="1:10" ht="15" customHeight="1">
      <c r="A487" s="2" t="s">
        <v>616</v>
      </c>
      <c r="B487" s="3">
        <v>45689</v>
      </c>
      <c r="C487" s="2" t="s">
        <v>609</v>
      </c>
      <c r="D487" s="2" t="s">
        <v>42</v>
      </c>
      <c r="E487" s="15" t="s">
        <v>226</v>
      </c>
      <c r="F487" s="15" t="s">
        <v>195</v>
      </c>
      <c r="G487" s="2" t="s">
        <v>11</v>
      </c>
      <c r="H487" t="str">
        <f>_xlfn.CONCAT(Table1[[#This Row],[Attendance_ID]],Table1[[#This Row],[Date]],Table1[[#This Row],[Employee_ID]])</f>
        <v>ATT0030645689EMP2005</v>
      </c>
      <c r="I487" s="12" t="e">
        <f>VLOOKUP(Table1[[#This Row],[Employee_ID]],[1]!Table1[[Employee_ID]:[Employee_Name]],2,0)</f>
        <v>#REF!</v>
      </c>
      <c r="J487" s="2" t="b">
        <f>Table1[[#This Row],[Login_Time]]&lt;Table1[[#This Row],[Logout_Time]]</f>
        <v>1</v>
      </c>
    </row>
    <row r="488" spans="1:10" ht="15" customHeight="1">
      <c r="A488" s="2" t="s">
        <v>617</v>
      </c>
      <c r="B488" s="3">
        <v>45727</v>
      </c>
      <c r="C488" s="2" t="s">
        <v>609</v>
      </c>
      <c r="D488" s="2" t="s">
        <v>9</v>
      </c>
      <c r="E488" s="15" t="s">
        <v>50</v>
      </c>
      <c r="F488" s="15" t="s">
        <v>86</v>
      </c>
      <c r="G488" s="2" t="s">
        <v>21</v>
      </c>
      <c r="H488" t="str">
        <f>_xlfn.CONCAT(Table1[[#This Row],[Attendance_ID]],Table1[[#This Row],[Date]],Table1[[#This Row],[Employee_ID]])</f>
        <v>ATT0035645727EMP2005</v>
      </c>
      <c r="I488" s="12" t="e">
        <f>VLOOKUP(Table1[[#This Row],[Employee_ID]],[1]!Table1[[Employee_ID]:[Employee_Name]],2,0)</f>
        <v>#REF!</v>
      </c>
      <c r="J488" s="2" t="b">
        <f>Table1[[#This Row],[Login_Time]]&lt;Table1[[#This Row],[Logout_Time]]</f>
        <v>1</v>
      </c>
    </row>
    <row r="489" spans="1:10" ht="15" customHeight="1">
      <c r="A489" s="2" t="s">
        <v>618</v>
      </c>
      <c r="B489" s="3">
        <v>45706</v>
      </c>
      <c r="C489" s="2" t="s">
        <v>609</v>
      </c>
      <c r="D489" s="2" t="s">
        <v>42</v>
      </c>
      <c r="E489" s="15" t="s">
        <v>40</v>
      </c>
      <c r="F489" s="15" t="s">
        <v>191</v>
      </c>
      <c r="G489" s="2" t="s">
        <v>11</v>
      </c>
      <c r="H489" t="str">
        <f>_xlfn.CONCAT(Table1[[#This Row],[Attendance_ID]],Table1[[#This Row],[Date]],Table1[[#This Row],[Employee_ID]])</f>
        <v>ATT0040645706EMP2005</v>
      </c>
      <c r="I489" s="12" t="e">
        <f>VLOOKUP(Table1[[#This Row],[Employee_ID]],[1]!Table1[[Employee_ID]:[Employee_Name]],2,0)</f>
        <v>#REF!</v>
      </c>
      <c r="J489" s="2" t="b">
        <f>Table1[[#This Row],[Login_Time]]&lt;Table1[[#This Row],[Logout_Time]]</f>
        <v>1</v>
      </c>
    </row>
    <row r="490" spans="1:10" ht="15" customHeight="1">
      <c r="A490" s="2" t="s">
        <v>619</v>
      </c>
      <c r="B490" s="3">
        <v>45746</v>
      </c>
      <c r="C490" s="2" t="s">
        <v>609</v>
      </c>
      <c r="D490" s="2" t="s">
        <v>9</v>
      </c>
      <c r="E490" s="15" t="s">
        <v>115</v>
      </c>
      <c r="F490" s="15" t="s">
        <v>20</v>
      </c>
      <c r="G490" s="2" t="s">
        <v>21</v>
      </c>
      <c r="H490" t="str">
        <f>_xlfn.CONCAT(Table1[[#This Row],[Attendance_ID]],Table1[[#This Row],[Date]],Table1[[#This Row],[Employee_ID]])</f>
        <v>ATT0045645746EMP2005</v>
      </c>
      <c r="I490" s="12" t="e">
        <f>VLOOKUP(Table1[[#This Row],[Employee_ID]],[1]!Table1[[Employee_ID]:[Employee_Name]],2,0)</f>
        <v>#REF!</v>
      </c>
      <c r="J490" s="2" t="b">
        <f>Table1[[#This Row],[Login_Time]]&lt;Table1[[#This Row],[Logout_Time]]</f>
        <v>1</v>
      </c>
    </row>
    <row r="491" spans="1:10" ht="15" hidden="1" customHeight="1">
      <c r="A491" s="2" t="s">
        <v>620</v>
      </c>
      <c r="B491" s="3">
        <v>45746</v>
      </c>
      <c r="C491" s="2" t="s">
        <v>621</v>
      </c>
      <c r="D491" s="2" t="s">
        <v>622</v>
      </c>
      <c r="E491" s="15"/>
      <c r="F491" s="15"/>
      <c r="G491" s="2" t="s">
        <v>11</v>
      </c>
      <c r="H491" t="str">
        <f>_xlfn.CONCAT(Table1[[#This Row],[Attendance_ID]],Table1[[#This Row],[Date]],Table1[[#This Row],[Employee_ID]])</f>
        <v>ATT0000145746EMP3001</v>
      </c>
      <c r="I491" s="12" t="e">
        <f>VLOOKUP(Table1[[#This Row],[Employee_ID]],[1]!Table1[[Employee_ID]:[Employee_Name]],2,0)</f>
        <v>#REF!</v>
      </c>
      <c r="J491" s="2" t="b">
        <f>Table1[[#This Row],[Login_Time]]&lt;Table1[[#This Row],[Logout_Time]]</f>
        <v>0</v>
      </c>
    </row>
    <row r="492" spans="1:10" ht="15" customHeight="1">
      <c r="A492" s="2" t="s">
        <v>623</v>
      </c>
      <c r="B492" s="3">
        <v>45730</v>
      </c>
      <c r="C492" s="2" t="s">
        <v>621</v>
      </c>
      <c r="D492" s="2" t="s">
        <v>9</v>
      </c>
      <c r="E492" s="15" t="s">
        <v>16</v>
      </c>
      <c r="F492" s="15" t="s">
        <v>92</v>
      </c>
      <c r="G492" s="2" t="s">
        <v>11</v>
      </c>
      <c r="H492" t="str">
        <f>_xlfn.CONCAT(Table1[[#This Row],[Attendance_ID]],Table1[[#This Row],[Date]],Table1[[#This Row],[Employee_ID]])</f>
        <v>ATT0005145730EMP3001</v>
      </c>
      <c r="I492" s="12" t="e">
        <f>VLOOKUP(Table1[[#This Row],[Employee_ID]],[1]!Table1[[Employee_ID]:[Employee_Name]],2,0)</f>
        <v>#REF!</v>
      </c>
      <c r="J492" s="2" t="b">
        <f>Table1[[#This Row],[Login_Time]]&lt;Table1[[#This Row],[Logout_Time]]</f>
        <v>1</v>
      </c>
    </row>
    <row r="493" spans="1:10" ht="15" hidden="1" customHeight="1">
      <c r="A493" s="2" t="s">
        <v>624</v>
      </c>
      <c r="B493" s="3">
        <v>45669</v>
      </c>
      <c r="C493" s="2" t="s">
        <v>621</v>
      </c>
      <c r="D493" s="2" t="s">
        <v>26</v>
      </c>
      <c r="E493" s="15"/>
      <c r="F493" s="15"/>
      <c r="G493" s="2" t="s">
        <v>11</v>
      </c>
      <c r="H493" t="str">
        <f>_xlfn.CONCAT(Table1[[#This Row],[Attendance_ID]],Table1[[#This Row],[Date]],Table1[[#This Row],[Employee_ID]])</f>
        <v>ATT0010145669EMP3001</v>
      </c>
      <c r="I493" s="12" t="e">
        <f>VLOOKUP(Table1[[#This Row],[Employee_ID]],[1]!Table1[[Employee_ID]:[Employee_Name]],2,0)</f>
        <v>#REF!</v>
      </c>
      <c r="J493" s="2" t="b">
        <f>Table1[[#This Row],[Login_Time]]&lt;Table1[[#This Row],[Logout_Time]]</f>
        <v>0</v>
      </c>
    </row>
    <row r="494" spans="1:10" ht="15" customHeight="1">
      <c r="A494" s="2" t="s">
        <v>625</v>
      </c>
      <c r="B494" s="3">
        <v>45745</v>
      </c>
      <c r="C494" s="2" t="s">
        <v>621</v>
      </c>
      <c r="D494" s="2" t="s">
        <v>9</v>
      </c>
      <c r="E494" s="15" t="s">
        <v>53</v>
      </c>
      <c r="F494" s="15" t="s">
        <v>14</v>
      </c>
      <c r="G494" s="2" t="s">
        <v>11</v>
      </c>
      <c r="H494" t="str">
        <f>_xlfn.CONCAT(Table1[[#This Row],[Attendance_ID]],Table1[[#This Row],[Date]],Table1[[#This Row],[Employee_ID]])</f>
        <v>ATT0015145745EMP3001</v>
      </c>
      <c r="I494" s="12" t="e">
        <f>VLOOKUP(Table1[[#This Row],[Employee_ID]],[1]!Table1[[Employee_ID]:[Employee_Name]],2,0)</f>
        <v>#REF!</v>
      </c>
      <c r="J494" s="2" t="b">
        <f>Table1[[#This Row],[Login_Time]]&lt;Table1[[#This Row],[Logout_Time]]</f>
        <v>1</v>
      </c>
    </row>
    <row r="495" spans="1:10" ht="15" customHeight="1">
      <c r="A495" s="2" t="s">
        <v>626</v>
      </c>
      <c r="B495" s="3">
        <v>45662</v>
      </c>
      <c r="C495" s="2" t="s">
        <v>621</v>
      </c>
      <c r="D495" s="2" t="s">
        <v>42</v>
      </c>
      <c r="E495" s="15" t="s">
        <v>40</v>
      </c>
      <c r="F495" s="15" t="s">
        <v>110</v>
      </c>
      <c r="G495" s="2" t="s">
        <v>11</v>
      </c>
      <c r="H495" t="str">
        <f>_xlfn.CONCAT(Table1[[#This Row],[Attendance_ID]],Table1[[#This Row],[Date]],Table1[[#This Row],[Employee_ID]])</f>
        <v>ATT0020145662EMP3001</v>
      </c>
      <c r="I495" s="12" t="e">
        <f>VLOOKUP(Table1[[#This Row],[Employee_ID]],[1]!Table1[[Employee_ID]:[Employee_Name]],2,0)</f>
        <v>#REF!</v>
      </c>
      <c r="J495" s="2" t="b">
        <f>Table1[[#This Row],[Login_Time]]&lt;Table1[[#This Row],[Logout_Time]]</f>
        <v>1</v>
      </c>
    </row>
    <row r="496" spans="1:10" ht="15" customHeight="1">
      <c r="A496" s="2" t="s">
        <v>627</v>
      </c>
      <c r="B496" s="3">
        <v>45694</v>
      </c>
      <c r="C496" s="2" t="s">
        <v>621</v>
      </c>
      <c r="D496" s="2" t="s">
        <v>9</v>
      </c>
      <c r="E496" s="15" t="s">
        <v>40</v>
      </c>
      <c r="F496" s="15" t="s">
        <v>261</v>
      </c>
      <c r="G496" s="2" t="s">
        <v>11</v>
      </c>
      <c r="H496" t="str">
        <f>_xlfn.CONCAT(Table1[[#This Row],[Attendance_ID]],Table1[[#This Row],[Date]],Table1[[#This Row],[Employee_ID]])</f>
        <v>ATT0025145694EMP3001</v>
      </c>
      <c r="I496" s="12" t="e">
        <f>VLOOKUP(Table1[[#This Row],[Employee_ID]],[1]!Table1[[Employee_ID]:[Employee_Name]],2,0)</f>
        <v>#REF!</v>
      </c>
      <c r="J496" s="2" t="b">
        <f>Table1[[#This Row],[Login_Time]]&lt;Table1[[#This Row],[Logout_Time]]</f>
        <v>1</v>
      </c>
    </row>
    <row r="497" spans="1:10" ht="15" customHeight="1">
      <c r="A497" s="2" t="s">
        <v>628</v>
      </c>
      <c r="B497" s="3">
        <v>45671</v>
      </c>
      <c r="C497" s="2" t="s">
        <v>621</v>
      </c>
      <c r="D497" s="2" t="s">
        <v>9</v>
      </c>
      <c r="E497" s="15" t="s">
        <v>23</v>
      </c>
      <c r="F497" s="15" t="s">
        <v>86</v>
      </c>
      <c r="G497" s="2" t="s">
        <v>11</v>
      </c>
      <c r="H497" t="str">
        <f>_xlfn.CONCAT(Table1[[#This Row],[Attendance_ID]],Table1[[#This Row],[Date]],Table1[[#This Row],[Employee_ID]])</f>
        <v>ATT0030145671EMP3001</v>
      </c>
      <c r="I497" s="12" t="e">
        <f>VLOOKUP(Table1[[#This Row],[Employee_ID]],[1]!Table1[[Employee_ID]:[Employee_Name]],2,0)</f>
        <v>#REF!</v>
      </c>
      <c r="J497" s="2" t="b">
        <f>Table1[[#This Row],[Login_Time]]&lt;Table1[[#This Row],[Logout_Time]]</f>
        <v>1</v>
      </c>
    </row>
    <row r="498" spans="1:10" ht="15" hidden="1" customHeight="1">
      <c r="A498" s="2" t="s">
        <v>629</v>
      </c>
      <c r="B498" s="3">
        <v>45689</v>
      </c>
      <c r="C498" s="2" t="s">
        <v>621</v>
      </c>
      <c r="D498" s="2" t="s">
        <v>70</v>
      </c>
      <c r="E498" s="15"/>
      <c r="F498" s="15"/>
      <c r="G498" s="2" t="s">
        <v>11</v>
      </c>
      <c r="H498" t="str">
        <f>_xlfn.CONCAT(Table1[[#This Row],[Attendance_ID]],Table1[[#This Row],[Date]],Table1[[#This Row],[Employee_ID]])</f>
        <v>ATT0035145689EMP3001</v>
      </c>
      <c r="I498" s="12" t="e">
        <f>VLOOKUP(Table1[[#This Row],[Employee_ID]],[1]!Table1[[Employee_ID]:[Employee_Name]],2,0)</f>
        <v>#REF!</v>
      </c>
      <c r="J498" s="2" t="b">
        <f>Table1[[#This Row],[Login_Time]]&lt;Table1[[#This Row],[Logout_Time]]</f>
        <v>0</v>
      </c>
    </row>
    <row r="499" spans="1:10" ht="15" customHeight="1">
      <c r="A499" s="2" t="s">
        <v>630</v>
      </c>
      <c r="B499" s="3">
        <v>45661</v>
      </c>
      <c r="C499" s="2" t="s">
        <v>621</v>
      </c>
      <c r="D499" s="2" t="s">
        <v>9</v>
      </c>
      <c r="E499" s="15" t="s">
        <v>53</v>
      </c>
      <c r="F499" s="15" t="s">
        <v>75</v>
      </c>
      <c r="G499" s="2" t="s">
        <v>11</v>
      </c>
      <c r="H499" t="str">
        <f>_xlfn.CONCAT(Table1[[#This Row],[Attendance_ID]],Table1[[#This Row],[Date]],Table1[[#This Row],[Employee_ID]])</f>
        <v>ATT0040145661EMP3001</v>
      </c>
      <c r="I499" s="12" t="e">
        <f>VLOOKUP(Table1[[#This Row],[Employee_ID]],[1]!Table1[[Employee_ID]:[Employee_Name]],2,0)</f>
        <v>#REF!</v>
      </c>
      <c r="J499" s="2" t="b">
        <f>Table1[[#This Row],[Login_Time]]&lt;Table1[[#This Row],[Logout_Time]]</f>
        <v>1</v>
      </c>
    </row>
    <row r="500" spans="1:10" ht="15" hidden="1" customHeight="1">
      <c r="A500" s="2" t="s">
        <v>631</v>
      </c>
      <c r="B500" s="3">
        <v>45673</v>
      </c>
      <c r="C500" s="2" t="s">
        <v>621</v>
      </c>
      <c r="D500" s="2" t="s">
        <v>26</v>
      </c>
      <c r="E500" s="15"/>
      <c r="F500" s="15"/>
      <c r="G500" s="2" t="s">
        <v>11</v>
      </c>
      <c r="H500" t="str">
        <f>_xlfn.CONCAT(Table1[[#This Row],[Attendance_ID]],Table1[[#This Row],[Date]],Table1[[#This Row],[Employee_ID]])</f>
        <v>ATT0045145673EMP3001</v>
      </c>
      <c r="I500" s="12" t="e">
        <f>VLOOKUP(Table1[[#This Row],[Employee_ID]],[1]!Table1[[Employee_ID]:[Employee_Name]],2,0)</f>
        <v>#REF!</v>
      </c>
      <c r="J500" s="2" t="b">
        <f>Table1[[#This Row],[Login_Time]]&lt;Table1[[#This Row],[Logout_Time]]</f>
        <v>0</v>
      </c>
    </row>
    <row r="501" spans="1:10" ht="15" customHeight="1">
      <c r="A501" s="2" t="s">
        <v>632</v>
      </c>
      <c r="B501" s="3">
        <v>45737</v>
      </c>
      <c r="C501" s="2"/>
      <c r="D501" s="2" t="s">
        <v>9</v>
      </c>
      <c r="E501" s="15" t="s">
        <v>89</v>
      </c>
      <c r="F501" s="15" t="s">
        <v>103</v>
      </c>
      <c r="G501" s="2" t="s">
        <v>21</v>
      </c>
      <c r="H501" t="str">
        <f>_xlfn.CONCAT(Table1[[#This Row],[Attendance_ID]],Table1[[#This Row],[Date]],Table1[[#This Row],[Employee_ID]])</f>
        <v>ATT0001345737</v>
      </c>
      <c r="I501" s="12" t="e">
        <f>VLOOKUP(Table1[[#This Row],[Employee_ID]],[1]!Table1[[Employee_ID]:[Employee_Name]],2,0)</f>
        <v>#REF!</v>
      </c>
      <c r="J501" s="2" t="b">
        <f>Table1[[#This Row],[Login_Time]]&lt;Table1[[#This Row],[Logout_Time]]</f>
        <v>1</v>
      </c>
    </row>
  </sheetData>
  <conditionalFormatting sqref="A1:A1048576">
    <cfRule type="duplicateValues" dxfId="5" priority="2"/>
  </conditionalFormatting>
  <conditionalFormatting sqref="H2:H501">
    <cfRule type="duplicateValues" dxfId="4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41A50-B605-4BA4-961E-CA468E73FA92}">
  <dimension ref="A1:G477"/>
  <sheetViews>
    <sheetView tabSelected="1" workbookViewId="0">
      <pane ySplit="1" topLeftCell="A2" activePane="bottomLeft" state="frozen"/>
      <selection pane="bottomLeft" activeCell="K15" sqref="K15"/>
    </sheetView>
  </sheetViews>
  <sheetFormatPr defaultRowHeight="13.8"/>
  <cols>
    <col min="1" max="2" width="14" customWidth="1"/>
    <col min="3" max="3" width="12.69921875" customWidth="1"/>
    <col min="4" max="4" width="17.5" customWidth="1"/>
    <col min="5" max="5" width="11.59765625" customWidth="1"/>
    <col min="6" max="6" width="12.796875" customWidth="1"/>
    <col min="7" max="7" width="11.296875" customWidth="1"/>
    <col min="8" max="8" width="13.19921875" customWidth="1"/>
  </cols>
  <sheetData>
    <row r="1" spans="1:7" ht="25.95" customHeight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</row>
    <row r="2" spans="1:7" ht="15" customHeight="1">
      <c r="A2" s="2" t="s">
        <v>178</v>
      </c>
      <c r="B2" s="20">
        <v>45658</v>
      </c>
      <c r="C2" s="2" t="s">
        <v>171</v>
      </c>
      <c r="D2" s="2" t="s">
        <v>9</v>
      </c>
      <c r="E2" s="2" t="s">
        <v>50</v>
      </c>
      <c r="F2" s="2" t="s">
        <v>55</v>
      </c>
      <c r="G2" s="2" t="s">
        <v>21</v>
      </c>
    </row>
    <row r="3" spans="1:7" ht="15" customHeight="1">
      <c r="A3" s="2" t="s">
        <v>253</v>
      </c>
      <c r="B3" s="20">
        <v>45658</v>
      </c>
      <c r="C3" s="2" t="s">
        <v>252</v>
      </c>
      <c r="D3" s="2" t="s">
        <v>26</v>
      </c>
      <c r="E3" s="2"/>
      <c r="F3" s="2"/>
      <c r="G3" s="2" t="s">
        <v>11</v>
      </c>
    </row>
    <row r="4" spans="1:7" ht="15" customHeight="1">
      <c r="A4" s="2" t="s">
        <v>266</v>
      </c>
      <c r="B4" s="20">
        <v>45658</v>
      </c>
      <c r="C4" s="2" t="s">
        <v>264</v>
      </c>
      <c r="D4" s="2" t="s">
        <v>9</v>
      </c>
      <c r="E4" s="2" t="s">
        <v>100</v>
      </c>
      <c r="F4" s="2" t="s">
        <v>127</v>
      </c>
      <c r="G4" s="2" t="s">
        <v>11</v>
      </c>
    </row>
    <row r="5" spans="1:7" ht="15" customHeight="1">
      <c r="A5" s="2" t="s">
        <v>394</v>
      </c>
      <c r="B5" s="20">
        <v>45658</v>
      </c>
      <c r="C5" s="2" t="s">
        <v>386</v>
      </c>
      <c r="D5" s="2" t="s">
        <v>26</v>
      </c>
      <c r="E5" s="2"/>
      <c r="F5" s="2"/>
      <c r="G5" s="2" t="s">
        <v>11</v>
      </c>
    </row>
    <row r="6" spans="1:7" ht="15" customHeight="1">
      <c r="A6" s="2" t="s">
        <v>448</v>
      </c>
      <c r="B6" s="20">
        <v>45658</v>
      </c>
      <c r="C6" s="2" t="s">
        <v>441</v>
      </c>
      <c r="D6" s="2" t="s">
        <v>9</v>
      </c>
      <c r="E6" s="2" t="s">
        <v>108</v>
      </c>
      <c r="F6" s="2" t="s">
        <v>37</v>
      </c>
      <c r="G6" s="2" t="s">
        <v>11</v>
      </c>
    </row>
    <row r="7" spans="1:7" ht="15" customHeight="1">
      <c r="A7" s="2" t="s">
        <v>269</v>
      </c>
      <c r="B7" s="20">
        <v>45659</v>
      </c>
      <c r="C7" s="2" t="s">
        <v>264</v>
      </c>
      <c r="D7" s="2" t="s">
        <v>26</v>
      </c>
      <c r="E7" s="2"/>
      <c r="F7" s="2"/>
      <c r="G7" s="2" t="s">
        <v>11</v>
      </c>
    </row>
    <row r="8" spans="1:7" ht="15" customHeight="1">
      <c r="A8" s="2" t="s">
        <v>444</v>
      </c>
      <c r="B8" s="20">
        <v>45659</v>
      </c>
      <c r="C8" s="2" t="s">
        <v>441</v>
      </c>
      <c r="D8" s="2" t="s">
        <v>9</v>
      </c>
      <c r="E8" s="2" t="s">
        <v>34</v>
      </c>
      <c r="F8" s="2" t="s">
        <v>55</v>
      </c>
      <c r="G8" s="2" t="s">
        <v>21</v>
      </c>
    </row>
    <row r="9" spans="1:7" ht="15" customHeight="1">
      <c r="A9" s="2" t="s">
        <v>477</v>
      </c>
      <c r="B9" s="20">
        <v>45659</v>
      </c>
      <c r="C9" s="2" t="s">
        <v>475</v>
      </c>
      <c r="D9" s="2" t="s">
        <v>26</v>
      </c>
      <c r="E9" s="2"/>
      <c r="F9" s="2"/>
      <c r="G9" s="2" t="s">
        <v>11</v>
      </c>
    </row>
    <row r="10" spans="1:7" ht="15" customHeight="1">
      <c r="A10" s="2" t="s">
        <v>688</v>
      </c>
      <c r="B10" s="20">
        <v>45659</v>
      </c>
      <c r="C10" s="2" t="s">
        <v>551</v>
      </c>
      <c r="D10" s="2" t="s">
        <v>26</v>
      </c>
      <c r="E10" s="2"/>
      <c r="F10" s="2"/>
      <c r="G10" s="2" t="s">
        <v>11</v>
      </c>
    </row>
    <row r="11" spans="1:7" ht="15" customHeight="1">
      <c r="A11" s="2" t="s">
        <v>607</v>
      </c>
      <c r="B11" s="20">
        <v>45659</v>
      </c>
      <c r="C11" s="2" t="s">
        <v>598</v>
      </c>
      <c r="D11" s="2" t="s">
        <v>26</v>
      </c>
      <c r="E11" s="2"/>
      <c r="F11" s="2"/>
      <c r="G11" s="2" t="s">
        <v>11</v>
      </c>
    </row>
    <row r="12" spans="1:7" ht="15" customHeight="1">
      <c r="A12" s="2" t="s">
        <v>33</v>
      </c>
      <c r="B12" s="20">
        <v>45660</v>
      </c>
      <c r="C12" s="2" t="s">
        <v>8</v>
      </c>
      <c r="D12" s="2" t="s">
        <v>9</v>
      </c>
      <c r="E12" s="2" t="s">
        <v>34</v>
      </c>
      <c r="F12" s="2" t="s">
        <v>35</v>
      </c>
      <c r="G12" s="2" t="s">
        <v>21</v>
      </c>
    </row>
    <row r="13" spans="1:7" ht="15" customHeight="1">
      <c r="A13" s="2" t="s">
        <v>116</v>
      </c>
      <c r="B13" s="20">
        <v>45660</v>
      </c>
      <c r="C13" s="2" t="s">
        <v>99</v>
      </c>
      <c r="D13" s="2" t="s">
        <v>42</v>
      </c>
      <c r="E13" s="2" t="s">
        <v>61</v>
      </c>
      <c r="F13" s="2" t="s">
        <v>75</v>
      </c>
      <c r="G13" s="2" t="s">
        <v>21</v>
      </c>
    </row>
    <row r="14" spans="1:7" ht="15" customHeight="1">
      <c r="A14" s="2" t="s">
        <v>212</v>
      </c>
      <c r="B14" s="20">
        <v>45660</v>
      </c>
      <c r="C14" s="2" t="s">
        <v>206</v>
      </c>
      <c r="D14" s="2" t="s">
        <v>42</v>
      </c>
      <c r="E14" s="2" t="s">
        <v>61</v>
      </c>
      <c r="F14" s="2" t="s">
        <v>55</v>
      </c>
      <c r="G14" s="2" t="s">
        <v>21</v>
      </c>
    </row>
    <row r="15" spans="1:7" ht="15" customHeight="1">
      <c r="A15" s="2" t="s">
        <v>456</v>
      </c>
      <c r="B15" s="20">
        <v>45660</v>
      </c>
      <c r="C15" s="2" t="s">
        <v>452</v>
      </c>
      <c r="D15" s="2" t="s">
        <v>9</v>
      </c>
      <c r="E15" s="2" t="s">
        <v>23</v>
      </c>
      <c r="F15" s="2" t="s">
        <v>122</v>
      </c>
      <c r="G15" s="2" t="s">
        <v>11</v>
      </c>
    </row>
    <row r="16" spans="1:7" ht="15" customHeight="1">
      <c r="A16" s="2" t="s">
        <v>332</v>
      </c>
      <c r="B16" s="20">
        <v>45661</v>
      </c>
      <c r="C16" s="2" t="s">
        <v>331</v>
      </c>
      <c r="D16" s="2" t="s">
        <v>9</v>
      </c>
      <c r="E16" s="2" t="s">
        <v>80</v>
      </c>
      <c r="F16" s="2" t="s">
        <v>122</v>
      </c>
      <c r="G16" s="2" t="s">
        <v>21</v>
      </c>
    </row>
    <row r="17" spans="1:7" ht="15" customHeight="1">
      <c r="A17" s="2" t="s">
        <v>412</v>
      </c>
      <c r="B17" s="20">
        <v>45661</v>
      </c>
      <c r="C17" s="2" t="s">
        <v>408</v>
      </c>
      <c r="D17" s="2" t="s">
        <v>9</v>
      </c>
      <c r="E17" s="2" t="s">
        <v>105</v>
      </c>
      <c r="F17" s="2" t="s">
        <v>32</v>
      </c>
      <c r="G17" s="2" t="s">
        <v>21</v>
      </c>
    </row>
    <row r="18" spans="1:7" ht="15" customHeight="1">
      <c r="A18" s="2" t="s">
        <v>630</v>
      </c>
      <c r="B18" s="20">
        <v>45661</v>
      </c>
      <c r="C18" s="2" t="s">
        <v>621</v>
      </c>
      <c r="D18" s="2" t="s">
        <v>9</v>
      </c>
      <c r="E18" s="2" t="s">
        <v>53</v>
      </c>
      <c r="F18" s="2" t="s">
        <v>75</v>
      </c>
      <c r="G18" s="2" t="s">
        <v>11</v>
      </c>
    </row>
    <row r="19" spans="1:7" ht="15" customHeight="1">
      <c r="A19" s="2" t="s">
        <v>612</v>
      </c>
      <c r="B19" s="20">
        <v>45662</v>
      </c>
      <c r="C19" s="2" t="s">
        <v>609</v>
      </c>
      <c r="D19" s="2" t="s">
        <v>26</v>
      </c>
      <c r="E19" s="2"/>
      <c r="F19" s="2"/>
      <c r="G19" s="2" t="s">
        <v>11</v>
      </c>
    </row>
    <row r="20" spans="1:7" ht="15" customHeight="1">
      <c r="A20" s="2" t="s">
        <v>626</v>
      </c>
      <c r="B20" s="20">
        <v>45662</v>
      </c>
      <c r="C20" s="2" t="s">
        <v>621</v>
      </c>
      <c r="D20" s="2" t="s">
        <v>42</v>
      </c>
      <c r="E20" s="2" t="s">
        <v>40</v>
      </c>
      <c r="F20" s="2" t="s">
        <v>110</v>
      </c>
      <c r="G20" s="2" t="s">
        <v>11</v>
      </c>
    </row>
    <row r="21" spans="1:7" ht="15" customHeight="1">
      <c r="A21" s="2" t="s">
        <v>141</v>
      </c>
      <c r="B21" s="20">
        <v>45663</v>
      </c>
      <c r="C21" s="2" t="s">
        <v>132</v>
      </c>
      <c r="D21" s="2" t="s">
        <v>9</v>
      </c>
      <c r="E21" s="2" t="s">
        <v>105</v>
      </c>
      <c r="F21" s="2" t="s">
        <v>29</v>
      </c>
      <c r="G21" s="2" t="s">
        <v>21</v>
      </c>
    </row>
    <row r="22" spans="1:7" ht="15" customHeight="1">
      <c r="A22" s="2" t="s">
        <v>173</v>
      </c>
      <c r="B22" s="20">
        <v>45663</v>
      </c>
      <c r="C22" s="2" t="s">
        <v>171</v>
      </c>
      <c r="D22" s="2" t="s">
        <v>9</v>
      </c>
      <c r="E22" s="2" t="s">
        <v>100</v>
      </c>
      <c r="F22" s="2" t="s">
        <v>122</v>
      </c>
      <c r="G22" s="2" t="s">
        <v>11</v>
      </c>
    </row>
    <row r="23" spans="1:7" ht="15" customHeight="1">
      <c r="A23" s="2" t="s">
        <v>288</v>
      </c>
      <c r="B23" s="20">
        <v>45663</v>
      </c>
      <c r="C23" s="2" t="s">
        <v>286</v>
      </c>
      <c r="D23" s="2" t="s">
        <v>9</v>
      </c>
      <c r="E23" s="2" t="s">
        <v>100</v>
      </c>
      <c r="F23" s="2" t="s">
        <v>35</v>
      </c>
      <c r="G23" s="2" t="s">
        <v>11</v>
      </c>
    </row>
    <row r="24" spans="1:7" ht="15" customHeight="1">
      <c r="A24" s="2" t="s">
        <v>358</v>
      </c>
      <c r="B24" s="20">
        <v>45663</v>
      </c>
      <c r="C24" s="2" t="s">
        <v>353</v>
      </c>
      <c r="D24" s="2" t="s">
        <v>9</v>
      </c>
      <c r="E24" s="2" t="s">
        <v>53</v>
      </c>
      <c r="F24" s="2" t="s">
        <v>48</v>
      </c>
      <c r="G24" s="2" t="s">
        <v>11</v>
      </c>
    </row>
    <row r="25" spans="1:7" ht="15" customHeight="1">
      <c r="A25" s="2" t="s">
        <v>471</v>
      </c>
      <c r="B25" s="20">
        <v>45663</v>
      </c>
      <c r="C25" s="2" t="s">
        <v>464</v>
      </c>
      <c r="D25" s="2" t="s">
        <v>26</v>
      </c>
      <c r="E25" s="2"/>
      <c r="F25" s="2"/>
      <c r="G25" s="2" t="s">
        <v>11</v>
      </c>
    </row>
    <row r="26" spans="1:7" ht="15" customHeight="1">
      <c r="A26" s="2" t="s">
        <v>544</v>
      </c>
      <c r="B26" s="20">
        <v>45663</v>
      </c>
      <c r="C26" s="2" t="s">
        <v>541</v>
      </c>
      <c r="D26" s="2" t="s">
        <v>26</v>
      </c>
      <c r="E26" s="2"/>
      <c r="F26" s="2"/>
      <c r="G26" s="2" t="s">
        <v>11</v>
      </c>
    </row>
    <row r="27" spans="1:7" ht="15" customHeight="1">
      <c r="A27" s="2" t="s">
        <v>130</v>
      </c>
      <c r="B27" s="20">
        <v>45664</v>
      </c>
      <c r="C27" s="2" t="s">
        <v>119</v>
      </c>
      <c r="D27" s="2" t="s">
        <v>9</v>
      </c>
      <c r="E27" s="2" t="s">
        <v>34</v>
      </c>
      <c r="F27" s="2" t="s">
        <v>37</v>
      </c>
      <c r="G27" s="2" t="s">
        <v>21</v>
      </c>
    </row>
    <row r="28" spans="1:7" ht="15" customHeight="1">
      <c r="A28" s="2" t="s">
        <v>175</v>
      </c>
      <c r="B28" s="20">
        <v>45664</v>
      </c>
      <c r="C28" s="2" t="s">
        <v>171</v>
      </c>
      <c r="D28" s="2" t="s">
        <v>42</v>
      </c>
      <c r="E28" s="2" t="s">
        <v>53</v>
      </c>
      <c r="F28" s="2" t="s">
        <v>10</v>
      </c>
      <c r="G28" s="2" t="s">
        <v>11</v>
      </c>
    </row>
    <row r="29" spans="1:7" ht="15" customHeight="1">
      <c r="A29" s="2" t="s">
        <v>567</v>
      </c>
      <c r="B29" s="20">
        <v>45664</v>
      </c>
      <c r="C29" s="2" t="s">
        <v>562</v>
      </c>
      <c r="D29" s="2" t="s">
        <v>42</v>
      </c>
      <c r="E29" s="2" t="s">
        <v>59</v>
      </c>
      <c r="F29" s="2" t="s">
        <v>29</v>
      </c>
      <c r="G29" s="2" t="s">
        <v>21</v>
      </c>
    </row>
    <row r="30" spans="1:7" ht="15" customHeight="1">
      <c r="A30" s="2" t="s">
        <v>591</v>
      </c>
      <c r="B30" s="20">
        <v>45664</v>
      </c>
      <c r="C30" s="2" t="s">
        <v>586</v>
      </c>
      <c r="D30" s="2" t="s">
        <v>42</v>
      </c>
      <c r="E30" s="2" t="s">
        <v>31</v>
      </c>
      <c r="F30" s="2" t="s">
        <v>37</v>
      </c>
      <c r="G30" s="2" t="s">
        <v>21</v>
      </c>
    </row>
    <row r="31" spans="1:7" ht="15" customHeight="1">
      <c r="A31" s="2" t="s">
        <v>245</v>
      </c>
      <c r="B31" s="20">
        <v>45665</v>
      </c>
      <c r="C31" s="2" t="s">
        <v>241</v>
      </c>
      <c r="D31" s="2" t="s">
        <v>26</v>
      </c>
      <c r="E31" s="2"/>
      <c r="F31" s="2"/>
      <c r="G31" s="2" t="s">
        <v>11</v>
      </c>
    </row>
    <row r="32" spans="1:7" ht="15" customHeight="1">
      <c r="A32" s="2" t="s">
        <v>271</v>
      </c>
      <c r="B32" s="20">
        <v>45665</v>
      </c>
      <c r="C32" s="2" t="s">
        <v>264</v>
      </c>
      <c r="D32" s="2" t="s">
        <v>9</v>
      </c>
      <c r="E32" s="2" t="s">
        <v>19</v>
      </c>
      <c r="F32" s="2" t="s">
        <v>127</v>
      </c>
      <c r="G32" s="2" t="s">
        <v>21</v>
      </c>
    </row>
    <row r="33" spans="1:7" ht="15" customHeight="1">
      <c r="A33" s="2" t="s">
        <v>279</v>
      </c>
      <c r="B33" s="20">
        <v>45665</v>
      </c>
      <c r="C33" s="2" t="s">
        <v>275</v>
      </c>
      <c r="D33" s="2" t="s">
        <v>42</v>
      </c>
      <c r="E33" s="2" t="s">
        <v>149</v>
      </c>
      <c r="F33" s="2" t="s">
        <v>35</v>
      </c>
      <c r="G33" s="2" t="s">
        <v>21</v>
      </c>
    </row>
    <row r="34" spans="1:7" ht="15" customHeight="1">
      <c r="A34" s="2" t="s">
        <v>392</v>
      </c>
      <c r="B34" s="20">
        <v>45665</v>
      </c>
      <c r="C34" s="2" t="s">
        <v>386</v>
      </c>
      <c r="D34" s="2" t="s">
        <v>26</v>
      </c>
      <c r="E34" s="2"/>
      <c r="F34" s="2"/>
      <c r="G34" s="2" t="s">
        <v>11</v>
      </c>
    </row>
    <row r="35" spans="1:7" ht="15" customHeight="1">
      <c r="A35" s="2" t="s">
        <v>401</v>
      </c>
      <c r="B35" s="20">
        <v>45665</v>
      </c>
      <c r="C35" s="2" t="s">
        <v>397</v>
      </c>
      <c r="D35" s="2" t="s">
        <v>9</v>
      </c>
      <c r="E35" s="2" t="s">
        <v>53</v>
      </c>
      <c r="F35" s="2" t="s">
        <v>195</v>
      </c>
      <c r="G35" s="2" t="s">
        <v>11</v>
      </c>
    </row>
    <row r="36" spans="1:7" ht="15" customHeight="1">
      <c r="A36" s="2" t="s">
        <v>449</v>
      </c>
      <c r="B36" s="20">
        <v>45665</v>
      </c>
      <c r="C36" s="2" t="s">
        <v>441</v>
      </c>
      <c r="D36" s="2" t="s">
        <v>9</v>
      </c>
      <c r="E36" s="2" t="s">
        <v>108</v>
      </c>
      <c r="F36" s="2" t="s">
        <v>92</v>
      </c>
      <c r="G36" s="2" t="s">
        <v>11</v>
      </c>
    </row>
    <row r="37" spans="1:7" ht="15" customHeight="1">
      <c r="A37" s="2" t="s">
        <v>500</v>
      </c>
      <c r="B37" s="20">
        <v>45665</v>
      </c>
      <c r="C37" s="2" t="s">
        <v>498</v>
      </c>
      <c r="D37" s="2" t="s">
        <v>9</v>
      </c>
      <c r="E37" s="2" t="s">
        <v>105</v>
      </c>
      <c r="F37" s="2" t="s">
        <v>191</v>
      </c>
      <c r="G37" s="2" t="s">
        <v>21</v>
      </c>
    </row>
    <row r="38" spans="1:7" ht="15" customHeight="1">
      <c r="A38" s="2" t="s">
        <v>582</v>
      </c>
      <c r="B38" s="20">
        <v>45665</v>
      </c>
      <c r="C38" s="2" t="s">
        <v>574</v>
      </c>
      <c r="D38" s="2" t="s">
        <v>26</v>
      </c>
      <c r="E38" s="2"/>
      <c r="F38" s="2"/>
      <c r="G38" s="2" t="s">
        <v>11</v>
      </c>
    </row>
    <row r="39" spans="1:7" ht="15" customHeight="1">
      <c r="A39" s="2" t="s">
        <v>88</v>
      </c>
      <c r="B39" s="20">
        <v>45666</v>
      </c>
      <c r="C39" s="2" t="s">
        <v>83</v>
      </c>
      <c r="D39" s="2" t="s">
        <v>42</v>
      </c>
      <c r="E39" s="2" t="s">
        <v>89</v>
      </c>
      <c r="F39" s="2" t="s">
        <v>90</v>
      </c>
      <c r="G39" s="2" t="s">
        <v>21</v>
      </c>
    </row>
    <row r="40" spans="1:7" ht="15" customHeight="1">
      <c r="A40" s="2" t="s">
        <v>202</v>
      </c>
      <c r="B40" s="20">
        <v>45666</v>
      </c>
      <c r="C40" s="2" t="s">
        <v>194</v>
      </c>
      <c r="D40" s="2" t="s">
        <v>42</v>
      </c>
      <c r="E40" s="2" t="s">
        <v>53</v>
      </c>
      <c r="F40" s="2" t="s">
        <v>96</v>
      </c>
      <c r="G40" s="2" t="s">
        <v>11</v>
      </c>
    </row>
    <row r="41" spans="1:7" ht="15" customHeight="1">
      <c r="A41" s="2" t="s">
        <v>352</v>
      </c>
      <c r="B41" s="20">
        <v>45666</v>
      </c>
      <c r="C41" s="2" t="s">
        <v>353</v>
      </c>
      <c r="D41" s="2" t="s">
        <v>9</v>
      </c>
      <c r="E41" s="2" t="s">
        <v>31</v>
      </c>
      <c r="F41" s="2" t="s">
        <v>48</v>
      </c>
      <c r="G41" s="2" t="s">
        <v>21</v>
      </c>
    </row>
    <row r="42" spans="1:7" ht="15" customHeight="1">
      <c r="A42" s="2" t="s">
        <v>160</v>
      </c>
      <c r="B42" s="20">
        <v>45667</v>
      </c>
      <c r="C42" s="2" t="s">
        <v>157</v>
      </c>
      <c r="D42" s="2" t="s">
        <v>9</v>
      </c>
      <c r="E42" s="2" t="s">
        <v>47</v>
      </c>
      <c r="F42" s="2" t="s">
        <v>96</v>
      </c>
      <c r="G42" s="2" t="s">
        <v>21</v>
      </c>
    </row>
    <row r="43" spans="1:7" ht="15" customHeight="1">
      <c r="A43" s="2" t="s">
        <v>197</v>
      </c>
      <c r="B43" s="20">
        <v>45667</v>
      </c>
      <c r="C43" s="2" t="s">
        <v>194</v>
      </c>
      <c r="D43" s="2" t="s">
        <v>9</v>
      </c>
      <c r="E43" s="2" t="s">
        <v>19</v>
      </c>
      <c r="F43" s="2" t="s">
        <v>32</v>
      </c>
      <c r="G43" s="2" t="s">
        <v>21</v>
      </c>
    </row>
    <row r="44" spans="1:7" ht="15" customHeight="1">
      <c r="A44" s="2" t="s">
        <v>294</v>
      </c>
      <c r="B44" s="20">
        <v>45667</v>
      </c>
      <c r="C44" s="2" t="s">
        <v>286</v>
      </c>
      <c r="D44" s="2" t="s">
        <v>9</v>
      </c>
      <c r="E44" s="2" t="s">
        <v>50</v>
      </c>
      <c r="F44" s="2" t="s">
        <v>44</v>
      </c>
      <c r="G44" s="2" t="s">
        <v>21</v>
      </c>
    </row>
    <row r="45" spans="1:7" ht="15" customHeight="1">
      <c r="A45" s="2" t="s">
        <v>300</v>
      </c>
      <c r="B45" s="20">
        <v>45667</v>
      </c>
      <c r="C45" s="2" t="s">
        <v>298</v>
      </c>
      <c r="D45" s="2" t="s">
        <v>26</v>
      </c>
      <c r="E45" s="2"/>
      <c r="F45" s="2"/>
      <c r="G45" s="2" t="s">
        <v>11</v>
      </c>
    </row>
    <row r="46" spans="1:7" ht="15" customHeight="1">
      <c r="A46" s="2" t="s">
        <v>496</v>
      </c>
      <c r="B46" s="20">
        <v>45667</v>
      </c>
      <c r="C46" s="2" t="s">
        <v>487</v>
      </c>
      <c r="D46" s="2" t="s">
        <v>26</v>
      </c>
      <c r="E46" s="2"/>
      <c r="F46" s="2"/>
      <c r="G46" s="2" t="s">
        <v>11</v>
      </c>
    </row>
    <row r="47" spans="1:7" ht="15" customHeight="1">
      <c r="A47" s="2" t="s">
        <v>515</v>
      </c>
      <c r="B47" s="20">
        <v>45667</v>
      </c>
      <c r="C47" s="2" t="s">
        <v>510</v>
      </c>
      <c r="D47" s="2" t="s">
        <v>26</v>
      </c>
      <c r="E47" s="2"/>
      <c r="F47" s="2"/>
      <c r="G47" s="2" t="s">
        <v>11</v>
      </c>
    </row>
    <row r="48" spans="1:7" ht="15" customHeight="1">
      <c r="A48" s="2" t="s">
        <v>282</v>
      </c>
      <c r="B48" s="20">
        <v>45668</v>
      </c>
      <c r="C48" s="2" t="s">
        <v>275</v>
      </c>
      <c r="D48" s="2" t="s">
        <v>9</v>
      </c>
      <c r="E48" s="2" t="s">
        <v>136</v>
      </c>
      <c r="F48" s="2" t="s">
        <v>37</v>
      </c>
      <c r="G48" s="2" t="s">
        <v>21</v>
      </c>
    </row>
    <row r="49" spans="1:7" ht="15" customHeight="1">
      <c r="A49" s="2" t="s">
        <v>306</v>
      </c>
      <c r="B49" s="20">
        <v>45668</v>
      </c>
      <c r="C49" s="2" t="s">
        <v>298</v>
      </c>
      <c r="D49" s="2" t="s">
        <v>26</v>
      </c>
      <c r="E49" s="2"/>
      <c r="F49" s="2"/>
      <c r="G49" s="2" t="s">
        <v>11</v>
      </c>
    </row>
    <row r="50" spans="1:7" ht="15" customHeight="1">
      <c r="A50" s="2" t="s">
        <v>478</v>
      </c>
      <c r="B50" s="20">
        <v>45668</v>
      </c>
      <c r="C50" s="2" t="s">
        <v>475</v>
      </c>
      <c r="D50" s="2" t="s">
        <v>26</v>
      </c>
      <c r="E50" s="2"/>
      <c r="F50" s="2"/>
      <c r="G50" s="2" t="s">
        <v>11</v>
      </c>
    </row>
    <row r="51" spans="1:7" ht="15" customHeight="1">
      <c r="A51" s="2" t="s">
        <v>488</v>
      </c>
      <c r="B51" s="20">
        <v>45668</v>
      </c>
      <c r="C51" s="2" t="s">
        <v>487</v>
      </c>
      <c r="D51" s="2" t="s">
        <v>9</v>
      </c>
      <c r="E51" s="2" t="s">
        <v>43</v>
      </c>
      <c r="F51" s="2" t="s">
        <v>24</v>
      </c>
      <c r="G51" s="2" t="s">
        <v>21</v>
      </c>
    </row>
    <row r="52" spans="1:7" ht="15" customHeight="1">
      <c r="A52" s="2" t="s">
        <v>513</v>
      </c>
      <c r="B52" s="20">
        <v>45668</v>
      </c>
      <c r="C52" s="2" t="s">
        <v>510</v>
      </c>
      <c r="D52" s="2" t="s">
        <v>26</v>
      </c>
      <c r="E52" s="2"/>
      <c r="F52" s="2"/>
      <c r="G52" s="2" t="s">
        <v>11</v>
      </c>
    </row>
    <row r="53" spans="1:7" ht="15" customHeight="1">
      <c r="A53" s="2" t="s">
        <v>554</v>
      </c>
      <c r="B53" s="20">
        <v>45668</v>
      </c>
      <c r="C53" s="2" t="s">
        <v>551</v>
      </c>
      <c r="D53" s="2" t="s">
        <v>26</v>
      </c>
      <c r="E53" s="2"/>
      <c r="F53" s="2"/>
      <c r="G53" s="2" t="s">
        <v>11</v>
      </c>
    </row>
    <row r="54" spans="1:7" ht="15" customHeight="1">
      <c r="A54" s="2" t="s">
        <v>613</v>
      </c>
      <c r="B54" s="20">
        <v>45668</v>
      </c>
      <c r="C54" s="2" t="s">
        <v>609</v>
      </c>
      <c r="D54" s="2" t="s">
        <v>26</v>
      </c>
      <c r="E54" s="2"/>
      <c r="F54" s="2"/>
      <c r="G54" s="2" t="s">
        <v>11</v>
      </c>
    </row>
    <row r="55" spans="1:7" ht="15" customHeight="1">
      <c r="A55" s="2" t="s">
        <v>98</v>
      </c>
      <c r="B55" s="20">
        <v>45669</v>
      </c>
      <c r="C55" s="2" t="s">
        <v>99</v>
      </c>
      <c r="D55" s="2" t="s">
        <v>9</v>
      </c>
      <c r="E55" s="2" t="s">
        <v>100</v>
      </c>
      <c r="F55" s="2" t="s">
        <v>101</v>
      </c>
      <c r="G55" s="2" t="s">
        <v>11</v>
      </c>
    </row>
    <row r="56" spans="1:7" ht="15" customHeight="1">
      <c r="A56" s="2" t="s">
        <v>326</v>
      </c>
      <c r="B56" s="20">
        <v>45669</v>
      </c>
      <c r="C56" s="2" t="s">
        <v>320</v>
      </c>
      <c r="D56" s="2" t="s">
        <v>26</v>
      </c>
      <c r="E56" s="2"/>
      <c r="F56" s="2"/>
      <c r="G56" s="2" t="s">
        <v>11</v>
      </c>
    </row>
    <row r="57" spans="1:7" ht="15" customHeight="1">
      <c r="A57" s="2" t="s">
        <v>339</v>
      </c>
      <c r="B57" s="20">
        <v>45669</v>
      </c>
      <c r="C57" s="2" t="s">
        <v>331</v>
      </c>
      <c r="D57" s="2" t="s">
        <v>42</v>
      </c>
      <c r="E57" s="2" t="s">
        <v>31</v>
      </c>
      <c r="F57" s="2" t="s">
        <v>101</v>
      </c>
      <c r="G57" s="2" t="s">
        <v>21</v>
      </c>
    </row>
    <row r="58" spans="1:7" ht="15" customHeight="1">
      <c r="A58" s="2" t="s">
        <v>422</v>
      </c>
      <c r="B58" s="20">
        <v>45669</v>
      </c>
      <c r="C58" s="2" t="s">
        <v>419</v>
      </c>
      <c r="D58" s="2" t="s">
        <v>9</v>
      </c>
      <c r="E58" s="2" t="s">
        <v>28</v>
      </c>
      <c r="F58" s="2" t="s">
        <v>24</v>
      </c>
      <c r="G58" s="2" t="s">
        <v>21</v>
      </c>
    </row>
    <row r="59" spans="1:7" ht="15" customHeight="1">
      <c r="A59" s="2" t="s">
        <v>524</v>
      </c>
      <c r="B59" s="20">
        <v>45669</v>
      </c>
      <c r="C59" s="2" t="s">
        <v>521</v>
      </c>
      <c r="D59" s="2" t="s">
        <v>9</v>
      </c>
      <c r="E59" s="2" t="s">
        <v>13</v>
      </c>
      <c r="F59" s="2" t="s">
        <v>10</v>
      </c>
      <c r="G59" s="2" t="s">
        <v>11</v>
      </c>
    </row>
    <row r="60" spans="1:7" ht="15" customHeight="1">
      <c r="A60" s="2" t="s">
        <v>624</v>
      </c>
      <c r="B60" s="20">
        <v>45669</v>
      </c>
      <c r="C60" s="2" t="s">
        <v>621</v>
      </c>
      <c r="D60" s="2" t="s">
        <v>26</v>
      </c>
      <c r="E60" s="2"/>
      <c r="F60" s="2"/>
      <c r="G60" s="2" t="s">
        <v>11</v>
      </c>
    </row>
    <row r="61" spans="1:7" ht="15" customHeight="1">
      <c r="A61" s="2" t="s">
        <v>25</v>
      </c>
      <c r="B61" s="20">
        <v>45670</v>
      </c>
      <c r="C61" s="2" t="s">
        <v>8</v>
      </c>
      <c r="D61" s="2" t="s">
        <v>26</v>
      </c>
      <c r="E61" s="2"/>
      <c r="F61" s="2"/>
      <c r="G61" s="2" t="s">
        <v>11</v>
      </c>
    </row>
    <row r="62" spans="1:7" ht="15" customHeight="1">
      <c r="A62" s="2" t="s">
        <v>46</v>
      </c>
      <c r="B62" s="20">
        <v>45670</v>
      </c>
      <c r="C62" s="2" t="s">
        <v>39</v>
      </c>
      <c r="D62" s="2" t="s">
        <v>9</v>
      </c>
      <c r="E62" s="2" t="s">
        <v>47</v>
      </c>
      <c r="F62" s="2" t="s">
        <v>48</v>
      </c>
      <c r="G62" s="2" t="s">
        <v>21</v>
      </c>
    </row>
    <row r="63" spans="1:7" ht="15" customHeight="1">
      <c r="A63" s="2" t="s">
        <v>296</v>
      </c>
      <c r="B63" s="20">
        <v>45670</v>
      </c>
      <c r="C63" s="2" t="s">
        <v>286</v>
      </c>
      <c r="D63" s="2" t="s">
        <v>9</v>
      </c>
      <c r="E63" s="2" t="s">
        <v>43</v>
      </c>
      <c r="F63" s="2" t="s">
        <v>51</v>
      </c>
      <c r="G63" s="2" t="s">
        <v>21</v>
      </c>
    </row>
    <row r="64" spans="1:7" ht="15" customHeight="1">
      <c r="A64" s="2" t="s">
        <v>356</v>
      </c>
      <c r="B64" s="20">
        <v>45670</v>
      </c>
      <c r="C64" s="2" t="s">
        <v>353</v>
      </c>
      <c r="D64" s="2" t="s">
        <v>9</v>
      </c>
      <c r="E64" s="2" t="s">
        <v>108</v>
      </c>
      <c r="F64" s="2" t="s">
        <v>122</v>
      </c>
      <c r="G64" s="2" t="s">
        <v>11</v>
      </c>
    </row>
    <row r="65" spans="1:7" ht="15" customHeight="1">
      <c r="A65" s="2" t="s">
        <v>395</v>
      </c>
      <c r="B65" s="20">
        <v>45670</v>
      </c>
      <c r="C65" s="2" t="s">
        <v>386</v>
      </c>
      <c r="D65" s="2" t="s">
        <v>26</v>
      </c>
      <c r="E65" s="2"/>
      <c r="F65" s="2"/>
      <c r="G65" s="2" t="s">
        <v>11</v>
      </c>
    </row>
    <row r="66" spans="1:7" ht="15" customHeight="1">
      <c r="A66" s="2" t="s">
        <v>410</v>
      </c>
      <c r="B66" s="20">
        <v>45670</v>
      </c>
      <c r="C66" s="2" t="s">
        <v>408</v>
      </c>
      <c r="D66" s="2" t="s">
        <v>42</v>
      </c>
      <c r="E66" s="2" t="s">
        <v>43</v>
      </c>
      <c r="F66" s="2" t="s">
        <v>211</v>
      </c>
      <c r="G66" s="2" t="s">
        <v>21</v>
      </c>
    </row>
    <row r="67" spans="1:7" ht="15" customHeight="1">
      <c r="A67" s="2" t="s">
        <v>564</v>
      </c>
      <c r="B67" s="20">
        <v>45670</v>
      </c>
      <c r="C67" s="2" t="s">
        <v>562</v>
      </c>
      <c r="D67" s="2" t="s">
        <v>9</v>
      </c>
      <c r="E67" s="2" t="s">
        <v>53</v>
      </c>
      <c r="F67" s="2" t="s">
        <v>86</v>
      </c>
      <c r="G67" s="2" t="s">
        <v>11</v>
      </c>
    </row>
    <row r="68" spans="1:7" ht="15" customHeight="1">
      <c r="A68" s="2" t="s">
        <v>77</v>
      </c>
      <c r="B68" s="20">
        <v>45671</v>
      </c>
      <c r="C68" s="2" t="s">
        <v>64</v>
      </c>
      <c r="D68" s="2" t="s">
        <v>9</v>
      </c>
      <c r="E68" s="2" t="s">
        <v>28</v>
      </c>
      <c r="F68" s="2" t="s">
        <v>78</v>
      </c>
      <c r="G68" s="2" t="s">
        <v>21</v>
      </c>
    </row>
    <row r="69" spans="1:7" ht="15" customHeight="1">
      <c r="A69" s="2" t="s">
        <v>172</v>
      </c>
      <c r="B69" s="20">
        <v>45671</v>
      </c>
      <c r="C69" s="2" t="s">
        <v>171</v>
      </c>
      <c r="D69" s="2" t="s">
        <v>26</v>
      </c>
      <c r="E69" s="2"/>
      <c r="F69" s="2"/>
      <c r="G69" s="2" t="s">
        <v>11</v>
      </c>
    </row>
    <row r="70" spans="1:7" ht="15" customHeight="1">
      <c r="A70" s="2" t="s">
        <v>185</v>
      </c>
      <c r="B70" s="20">
        <v>45671</v>
      </c>
      <c r="C70" s="2" t="s">
        <v>182</v>
      </c>
      <c r="D70" s="2" t="s">
        <v>9</v>
      </c>
      <c r="E70" s="2" t="s">
        <v>149</v>
      </c>
      <c r="F70" s="2" t="s">
        <v>113</v>
      </c>
      <c r="G70" s="2" t="s">
        <v>21</v>
      </c>
    </row>
    <row r="71" spans="1:7" ht="15" customHeight="1">
      <c r="A71" s="2" t="s">
        <v>243</v>
      </c>
      <c r="B71" s="20">
        <v>45671</v>
      </c>
      <c r="C71" s="2" t="s">
        <v>241</v>
      </c>
      <c r="D71" s="2" t="s">
        <v>42</v>
      </c>
      <c r="E71" s="2" t="s">
        <v>40</v>
      </c>
      <c r="F71" s="2" t="s">
        <v>29</v>
      </c>
      <c r="G71" s="2" t="s">
        <v>11</v>
      </c>
    </row>
    <row r="72" spans="1:7" ht="15" customHeight="1">
      <c r="A72" s="2" t="s">
        <v>347</v>
      </c>
      <c r="B72" s="20">
        <v>45671</v>
      </c>
      <c r="C72" s="2" t="s">
        <v>342</v>
      </c>
      <c r="D72" s="2" t="s">
        <v>42</v>
      </c>
      <c r="E72" s="2" t="s">
        <v>47</v>
      </c>
      <c r="F72" s="2" t="s">
        <v>90</v>
      </c>
      <c r="G72" s="2" t="s">
        <v>21</v>
      </c>
    </row>
    <row r="73" spans="1:7" ht="15" customHeight="1">
      <c r="A73" s="2" t="s">
        <v>440</v>
      </c>
      <c r="B73" s="20">
        <v>45671</v>
      </c>
      <c r="C73" s="2" t="s">
        <v>441</v>
      </c>
      <c r="D73" s="2" t="s">
        <v>9</v>
      </c>
      <c r="E73" s="2" t="s">
        <v>53</v>
      </c>
      <c r="F73" s="2" t="s">
        <v>113</v>
      </c>
      <c r="G73" s="2" t="s">
        <v>11</v>
      </c>
    </row>
    <row r="74" spans="1:7" ht="15" customHeight="1">
      <c r="A74" s="2" t="s">
        <v>545</v>
      </c>
      <c r="B74" s="20">
        <v>45671</v>
      </c>
      <c r="C74" s="2" t="s">
        <v>541</v>
      </c>
      <c r="D74" s="2" t="s">
        <v>9</v>
      </c>
      <c r="E74" s="2" t="s">
        <v>31</v>
      </c>
      <c r="F74" s="2" t="s">
        <v>122</v>
      </c>
      <c r="G74" s="2" t="s">
        <v>21</v>
      </c>
    </row>
    <row r="75" spans="1:7" ht="15" customHeight="1">
      <c r="A75" s="2" t="s">
        <v>578</v>
      </c>
      <c r="B75" s="20">
        <v>45671</v>
      </c>
      <c r="C75" s="2" t="s">
        <v>574</v>
      </c>
      <c r="D75" s="2" t="s">
        <v>9</v>
      </c>
      <c r="E75" s="2" t="s">
        <v>158</v>
      </c>
      <c r="F75" s="2" t="s">
        <v>110</v>
      </c>
      <c r="G75" s="2" t="s">
        <v>11</v>
      </c>
    </row>
    <row r="76" spans="1:7" ht="15" customHeight="1">
      <c r="A76" s="2" t="s">
        <v>628</v>
      </c>
      <c r="B76" s="20">
        <v>45671</v>
      </c>
      <c r="C76" s="2" t="s">
        <v>621</v>
      </c>
      <c r="D76" s="2" t="s">
        <v>9</v>
      </c>
      <c r="E76" s="2" t="s">
        <v>23</v>
      </c>
      <c r="F76" s="2" t="s">
        <v>86</v>
      </c>
      <c r="G76" s="2" t="s">
        <v>11</v>
      </c>
    </row>
    <row r="77" spans="1:7" ht="15" customHeight="1">
      <c r="A77" s="2" t="s">
        <v>56</v>
      </c>
      <c r="B77" s="20">
        <v>45672</v>
      </c>
      <c r="C77" s="2" t="s">
        <v>39</v>
      </c>
      <c r="D77" s="2" t="s">
        <v>9</v>
      </c>
      <c r="E77" s="2" t="s">
        <v>57</v>
      </c>
      <c r="F77" s="2" t="s">
        <v>44</v>
      </c>
      <c r="G77" s="2" t="s">
        <v>11</v>
      </c>
    </row>
    <row r="78" spans="1:7" ht="15" customHeight="1">
      <c r="A78" s="2" t="s">
        <v>273</v>
      </c>
      <c r="B78" s="20">
        <v>45672</v>
      </c>
      <c r="C78" s="2" t="s">
        <v>264</v>
      </c>
      <c r="D78" s="2" t="s">
        <v>9</v>
      </c>
      <c r="E78" s="2" t="s">
        <v>226</v>
      </c>
      <c r="F78" s="2" t="s">
        <v>75</v>
      </c>
      <c r="G78" s="2" t="s">
        <v>11</v>
      </c>
    </row>
    <row r="79" spans="1:7" ht="15" customHeight="1">
      <c r="A79" s="2" t="s">
        <v>322</v>
      </c>
      <c r="B79" s="20">
        <v>45672</v>
      </c>
      <c r="C79" s="2" t="s">
        <v>320</v>
      </c>
      <c r="D79" s="2" t="s">
        <v>9</v>
      </c>
      <c r="E79" s="2" t="s">
        <v>16</v>
      </c>
      <c r="F79" s="2" t="s">
        <v>113</v>
      </c>
      <c r="G79" s="2" t="s">
        <v>11</v>
      </c>
    </row>
    <row r="80" spans="1:7" ht="15" customHeight="1">
      <c r="A80" s="2" t="s">
        <v>350</v>
      </c>
      <c r="B80" s="20">
        <v>45672</v>
      </c>
      <c r="C80" s="2" t="s">
        <v>342</v>
      </c>
      <c r="D80" s="2" t="s">
        <v>42</v>
      </c>
      <c r="E80" s="2" t="s">
        <v>149</v>
      </c>
      <c r="F80" s="2" t="s">
        <v>72</v>
      </c>
      <c r="G80" s="2" t="s">
        <v>21</v>
      </c>
    </row>
    <row r="81" spans="1:7" ht="15" customHeight="1">
      <c r="A81" s="2" t="s">
        <v>485</v>
      </c>
      <c r="B81" s="20">
        <v>45672</v>
      </c>
      <c r="C81" s="2" t="s">
        <v>487</v>
      </c>
      <c r="D81" s="2" t="s">
        <v>26</v>
      </c>
      <c r="E81" s="2"/>
      <c r="F81" s="2"/>
      <c r="G81" s="2" t="s">
        <v>11</v>
      </c>
    </row>
    <row r="82" spans="1:7" ht="15" customHeight="1">
      <c r="A82" s="2" t="s">
        <v>539</v>
      </c>
      <c r="B82" s="20">
        <v>45672</v>
      </c>
      <c r="C82" s="2" t="s">
        <v>531</v>
      </c>
      <c r="D82" s="2" t="s">
        <v>42</v>
      </c>
      <c r="E82" s="2" t="s">
        <v>115</v>
      </c>
      <c r="F82" s="2" t="s">
        <v>96</v>
      </c>
      <c r="G82" s="2" t="s">
        <v>21</v>
      </c>
    </row>
    <row r="83" spans="1:7" ht="15" customHeight="1">
      <c r="A83" s="2" t="s">
        <v>542</v>
      </c>
      <c r="B83" s="20">
        <v>45672</v>
      </c>
      <c r="C83" s="2" t="s">
        <v>541</v>
      </c>
      <c r="D83" s="2" t="s">
        <v>42</v>
      </c>
      <c r="E83" s="2" t="s">
        <v>40</v>
      </c>
      <c r="F83" s="2" t="s">
        <v>92</v>
      </c>
      <c r="G83" s="2" t="s">
        <v>11</v>
      </c>
    </row>
    <row r="84" spans="1:7" ht="15" customHeight="1">
      <c r="A84" s="2" t="s">
        <v>611</v>
      </c>
      <c r="B84" s="20">
        <v>45672</v>
      </c>
      <c r="C84" s="2" t="s">
        <v>609</v>
      </c>
      <c r="D84" s="2" t="s">
        <v>26</v>
      </c>
      <c r="E84" s="2"/>
      <c r="F84" s="2"/>
      <c r="G84" s="2" t="s">
        <v>11</v>
      </c>
    </row>
    <row r="85" spans="1:7" ht="15" customHeight="1">
      <c r="A85" s="2" t="s">
        <v>227</v>
      </c>
      <c r="B85" s="20">
        <v>45673</v>
      </c>
      <c r="C85" s="2" t="s">
        <v>218</v>
      </c>
      <c r="D85" s="2" t="s">
        <v>42</v>
      </c>
      <c r="E85" s="2" t="s">
        <v>16</v>
      </c>
      <c r="F85" s="2" t="s">
        <v>110</v>
      </c>
      <c r="G85" s="2" t="s">
        <v>11</v>
      </c>
    </row>
    <row r="86" spans="1:7" ht="15" customHeight="1">
      <c r="A86" s="2" t="s">
        <v>432</v>
      </c>
      <c r="B86" s="20">
        <v>45673</v>
      </c>
      <c r="C86" s="2" t="s">
        <v>430</v>
      </c>
      <c r="D86" s="2" t="s">
        <v>9</v>
      </c>
      <c r="E86" s="2" t="s">
        <v>40</v>
      </c>
      <c r="F86" s="2" t="s">
        <v>78</v>
      </c>
      <c r="G86" s="2" t="s">
        <v>11</v>
      </c>
    </row>
    <row r="87" spans="1:7" ht="15" customHeight="1">
      <c r="A87" s="2" t="s">
        <v>550</v>
      </c>
      <c r="B87" s="20">
        <v>45673</v>
      </c>
      <c r="C87" s="2" t="s">
        <v>541</v>
      </c>
      <c r="D87" s="2" t="s">
        <v>9</v>
      </c>
      <c r="E87" s="2" t="s">
        <v>149</v>
      </c>
      <c r="F87" s="2" t="s">
        <v>92</v>
      </c>
      <c r="G87" s="2" t="s">
        <v>21</v>
      </c>
    </row>
    <row r="88" spans="1:7" ht="15" customHeight="1">
      <c r="A88" s="2" t="s">
        <v>631</v>
      </c>
      <c r="B88" s="20">
        <v>45673</v>
      </c>
      <c r="C88" s="2" t="s">
        <v>621</v>
      </c>
      <c r="D88" s="2" t="s">
        <v>26</v>
      </c>
      <c r="E88" s="2"/>
      <c r="F88" s="2"/>
      <c r="G88" s="2" t="s">
        <v>11</v>
      </c>
    </row>
    <row r="89" spans="1:7" ht="15" customHeight="1">
      <c r="A89" s="2" t="s">
        <v>310</v>
      </c>
      <c r="B89" s="20">
        <v>45674</v>
      </c>
      <c r="C89" s="2" t="s">
        <v>309</v>
      </c>
      <c r="D89" s="2" t="s">
        <v>9</v>
      </c>
      <c r="E89" s="2" t="s">
        <v>43</v>
      </c>
      <c r="F89" s="2" t="s">
        <v>165</v>
      </c>
      <c r="G89" s="2" t="s">
        <v>21</v>
      </c>
    </row>
    <row r="90" spans="1:7" ht="15" customHeight="1">
      <c r="A90" s="2" t="s">
        <v>468</v>
      </c>
      <c r="B90" s="20">
        <v>45674</v>
      </c>
      <c r="C90" s="2" t="s">
        <v>464</v>
      </c>
      <c r="D90" s="2" t="s">
        <v>9</v>
      </c>
      <c r="E90" s="2" t="s">
        <v>158</v>
      </c>
      <c r="F90" s="2" t="s">
        <v>168</v>
      </c>
      <c r="G90" s="2" t="s">
        <v>11</v>
      </c>
    </row>
    <row r="91" spans="1:7" ht="15" customHeight="1">
      <c r="A91" s="2" t="s">
        <v>543</v>
      </c>
      <c r="B91" s="20">
        <v>45674</v>
      </c>
      <c r="C91" s="2" t="s">
        <v>541</v>
      </c>
      <c r="D91" s="2" t="s">
        <v>26</v>
      </c>
      <c r="E91" s="2"/>
      <c r="F91" s="2"/>
      <c r="G91" s="2" t="s">
        <v>11</v>
      </c>
    </row>
    <row r="92" spans="1:7" ht="15" customHeight="1">
      <c r="A92" s="2" t="s">
        <v>222</v>
      </c>
      <c r="B92" s="20">
        <v>45675</v>
      </c>
      <c r="C92" s="2" t="s">
        <v>218</v>
      </c>
      <c r="D92" s="2" t="s">
        <v>26</v>
      </c>
      <c r="E92" s="2"/>
      <c r="F92" s="2"/>
      <c r="G92" s="2" t="s">
        <v>11</v>
      </c>
    </row>
    <row r="93" spans="1:7" ht="15" customHeight="1">
      <c r="A93" s="2" t="s">
        <v>257</v>
      </c>
      <c r="B93" s="20">
        <v>45675</v>
      </c>
      <c r="C93" s="2" t="s">
        <v>252</v>
      </c>
      <c r="D93" s="2" t="s">
        <v>9</v>
      </c>
      <c r="E93" s="2" t="s">
        <v>28</v>
      </c>
      <c r="F93" s="2" t="s">
        <v>66</v>
      </c>
      <c r="G93" s="2" t="s">
        <v>21</v>
      </c>
    </row>
    <row r="94" spans="1:7" ht="15" customHeight="1">
      <c r="A94" s="2" t="s">
        <v>272</v>
      </c>
      <c r="B94" s="20">
        <v>45675</v>
      </c>
      <c r="C94" s="2" t="s">
        <v>264</v>
      </c>
      <c r="D94" s="2" t="s">
        <v>9</v>
      </c>
      <c r="E94" s="2" t="s">
        <v>61</v>
      </c>
      <c r="F94" s="2" t="s">
        <v>90</v>
      </c>
      <c r="G94" s="2" t="s">
        <v>21</v>
      </c>
    </row>
    <row r="95" spans="1:7" ht="15" customHeight="1">
      <c r="A95" s="2" t="s">
        <v>405</v>
      </c>
      <c r="B95" s="20">
        <v>45675</v>
      </c>
      <c r="C95" s="2" t="s">
        <v>397</v>
      </c>
      <c r="D95" s="2" t="s">
        <v>26</v>
      </c>
      <c r="E95" s="2"/>
      <c r="F95" s="2"/>
      <c r="G95" s="2" t="s">
        <v>11</v>
      </c>
    </row>
    <row r="96" spans="1:7" ht="15" customHeight="1">
      <c r="A96" s="2" t="s">
        <v>511</v>
      </c>
      <c r="B96" s="20">
        <v>45675</v>
      </c>
      <c r="C96" s="2" t="s">
        <v>510</v>
      </c>
      <c r="D96" s="2" t="s">
        <v>9</v>
      </c>
      <c r="E96" s="2" t="s">
        <v>89</v>
      </c>
      <c r="F96" s="2" t="s">
        <v>35</v>
      </c>
      <c r="G96" s="2" t="s">
        <v>21</v>
      </c>
    </row>
    <row r="97" spans="1:7" ht="15" customHeight="1">
      <c r="A97" s="2" t="s">
        <v>559</v>
      </c>
      <c r="B97" s="20">
        <v>45675</v>
      </c>
      <c r="C97" s="2" t="s">
        <v>551</v>
      </c>
      <c r="D97" s="2" t="s">
        <v>9</v>
      </c>
      <c r="E97" s="2" t="s">
        <v>80</v>
      </c>
      <c r="F97" s="2" t="s">
        <v>106</v>
      </c>
      <c r="G97" s="2" t="s">
        <v>21</v>
      </c>
    </row>
    <row r="98" spans="1:7" ht="15" customHeight="1">
      <c r="A98" s="2" t="s">
        <v>15</v>
      </c>
      <c r="B98" s="20">
        <v>45676</v>
      </c>
      <c r="C98" s="2" t="s">
        <v>8</v>
      </c>
      <c r="D98" s="2" t="s">
        <v>9</v>
      </c>
      <c r="E98" s="2" t="s">
        <v>16</v>
      </c>
      <c r="F98" s="2" t="s">
        <v>17</v>
      </c>
      <c r="G98" s="2" t="s">
        <v>11</v>
      </c>
    </row>
    <row r="99" spans="1:7" ht="15" customHeight="1">
      <c r="A99" s="2" t="s">
        <v>207</v>
      </c>
      <c r="B99" s="20">
        <v>45676</v>
      </c>
      <c r="C99" s="2" t="s">
        <v>206</v>
      </c>
      <c r="D99" s="2" t="s">
        <v>9</v>
      </c>
      <c r="E99" s="2" t="s">
        <v>40</v>
      </c>
      <c r="F99" s="2" t="s">
        <v>78</v>
      </c>
      <c r="G99" s="2" t="s">
        <v>11</v>
      </c>
    </row>
    <row r="100" spans="1:7" ht="15" customHeight="1">
      <c r="A100" s="2" t="s">
        <v>237</v>
      </c>
      <c r="B100" s="20">
        <v>45676</v>
      </c>
      <c r="C100" s="2" t="s">
        <v>230</v>
      </c>
      <c r="D100" s="2" t="s">
        <v>42</v>
      </c>
      <c r="E100" s="2" t="s">
        <v>108</v>
      </c>
      <c r="F100" s="2" t="s">
        <v>29</v>
      </c>
      <c r="G100" s="2" t="s">
        <v>11</v>
      </c>
    </row>
    <row r="101" spans="1:7" ht="15" customHeight="1">
      <c r="A101" s="2" t="s">
        <v>426</v>
      </c>
      <c r="B101" s="20">
        <v>45676</v>
      </c>
      <c r="C101" s="2" t="s">
        <v>419</v>
      </c>
      <c r="D101" s="2" t="s">
        <v>9</v>
      </c>
      <c r="E101" s="2" t="s">
        <v>158</v>
      </c>
      <c r="F101" s="2" t="s">
        <v>122</v>
      </c>
      <c r="G101" s="2" t="s">
        <v>11</v>
      </c>
    </row>
    <row r="102" spans="1:7" ht="15" customHeight="1">
      <c r="A102" s="2" t="s">
        <v>528</v>
      </c>
      <c r="B102" s="20">
        <v>45676</v>
      </c>
      <c r="C102" s="2" t="s">
        <v>521</v>
      </c>
      <c r="D102" s="2" t="s">
        <v>9</v>
      </c>
      <c r="E102" s="2" t="s">
        <v>80</v>
      </c>
      <c r="F102" s="2" t="s">
        <v>29</v>
      </c>
      <c r="G102" s="2" t="s">
        <v>21</v>
      </c>
    </row>
    <row r="103" spans="1:7" ht="15" customHeight="1">
      <c r="A103" s="2" t="s">
        <v>74</v>
      </c>
      <c r="B103" s="20">
        <v>45677</v>
      </c>
      <c r="C103" s="2" t="s">
        <v>64</v>
      </c>
      <c r="D103" s="2" t="s">
        <v>9</v>
      </c>
      <c r="E103" s="2" t="s">
        <v>28</v>
      </c>
      <c r="F103" s="2" t="s">
        <v>75</v>
      </c>
      <c r="G103" s="2" t="s">
        <v>21</v>
      </c>
    </row>
    <row r="104" spans="1:7" ht="15" customHeight="1">
      <c r="A104" s="2" t="s">
        <v>97</v>
      </c>
      <c r="B104" s="20">
        <v>45677</v>
      </c>
      <c r="C104" s="2" t="s">
        <v>83</v>
      </c>
      <c r="D104" s="2" t="s">
        <v>26</v>
      </c>
      <c r="E104" s="2"/>
      <c r="F104" s="2"/>
      <c r="G104" s="2" t="s">
        <v>11</v>
      </c>
    </row>
    <row r="105" spans="1:7" ht="15" customHeight="1">
      <c r="A105" s="2" t="s">
        <v>215</v>
      </c>
      <c r="B105" s="20">
        <v>45677</v>
      </c>
      <c r="C105" s="2" t="s">
        <v>206</v>
      </c>
      <c r="D105" s="2" t="s">
        <v>42</v>
      </c>
      <c r="E105" s="2" t="s">
        <v>57</v>
      </c>
      <c r="F105" s="2" t="s">
        <v>211</v>
      </c>
      <c r="G105" s="2" t="s">
        <v>11</v>
      </c>
    </row>
    <row r="106" spans="1:7" ht="15" customHeight="1">
      <c r="A106" s="2" t="s">
        <v>380</v>
      </c>
      <c r="B106" s="20">
        <v>45677</v>
      </c>
      <c r="C106" s="2" t="s">
        <v>375</v>
      </c>
      <c r="D106" s="2" t="s">
        <v>9</v>
      </c>
      <c r="E106" s="2" t="s">
        <v>53</v>
      </c>
      <c r="F106" s="2" t="s">
        <v>90</v>
      </c>
      <c r="G106" s="2" t="s">
        <v>11</v>
      </c>
    </row>
    <row r="107" spans="1:7" ht="15" customHeight="1">
      <c r="A107" s="2" t="s">
        <v>411</v>
      </c>
      <c r="B107" s="20">
        <v>45677</v>
      </c>
      <c r="C107" s="2" t="s">
        <v>408</v>
      </c>
      <c r="D107" s="2" t="s">
        <v>42</v>
      </c>
      <c r="E107" s="2" t="s">
        <v>57</v>
      </c>
      <c r="F107" s="2" t="s">
        <v>113</v>
      </c>
      <c r="G107" s="2" t="s">
        <v>11</v>
      </c>
    </row>
    <row r="108" spans="1:7" ht="15" customHeight="1">
      <c r="A108" s="2" t="s">
        <v>433</v>
      </c>
      <c r="B108" s="20">
        <v>45677</v>
      </c>
      <c r="C108" s="2" t="s">
        <v>430</v>
      </c>
      <c r="D108" s="2" t="s">
        <v>9</v>
      </c>
      <c r="E108" s="2" t="s">
        <v>80</v>
      </c>
      <c r="F108" s="2" t="s">
        <v>292</v>
      </c>
      <c r="G108" s="2" t="s">
        <v>21</v>
      </c>
    </row>
    <row r="109" spans="1:7" ht="15" customHeight="1">
      <c r="A109" s="2" t="s">
        <v>535</v>
      </c>
      <c r="B109" s="20">
        <v>45677</v>
      </c>
      <c r="C109" s="2" t="s">
        <v>531</v>
      </c>
      <c r="D109" s="2" t="s">
        <v>9</v>
      </c>
      <c r="E109" s="2" t="s">
        <v>149</v>
      </c>
      <c r="F109" s="2" t="s">
        <v>191</v>
      </c>
      <c r="G109" s="2" t="s">
        <v>21</v>
      </c>
    </row>
    <row r="110" spans="1:7" ht="15" customHeight="1">
      <c r="A110" s="2" t="s">
        <v>548</v>
      </c>
      <c r="B110" s="20">
        <v>45677</v>
      </c>
      <c r="C110" s="2" t="s">
        <v>541</v>
      </c>
      <c r="D110" s="2" t="s">
        <v>9</v>
      </c>
      <c r="E110" s="2" t="s">
        <v>34</v>
      </c>
      <c r="F110" s="2" t="s">
        <v>165</v>
      </c>
      <c r="G110" s="2" t="s">
        <v>21</v>
      </c>
    </row>
    <row r="111" spans="1:7" ht="15" customHeight="1">
      <c r="A111" s="2" t="s">
        <v>596</v>
      </c>
      <c r="B111" s="20">
        <v>45677</v>
      </c>
      <c r="C111" s="2" t="s">
        <v>586</v>
      </c>
      <c r="D111" s="2" t="s">
        <v>9</v>
      </c>
      <c r="E111" s="2" t="s">
        <v>28</v>
      </c>
      <c r="F111" s="2" t="s">
        <v>75</v>
      </c>
      <c r="G111" s="2" t="s">
        <v>21</v>
      </c>
    </row>
    <row r="112" spans="1:7" ht="15" customHeight="1">
      <c r="A112" s="2" t="s">
        <v>321</v>
      </c>
      <c r="B112" s="20">
        <v>45678</v>
      </c>
      <c r="C112" s="2" t="s">
        <v>320</v>
      </c>
      <c r="D112" s="2" t="s">
        <v>42</v>
      </c>
      <c r="E112" s="2" t="s">
        <v>149</v>
      </c>
      <c r="F112" s="2" t="s">
        <v>154</v>
      </c>
      <c r="G112" s="2" t="s">
        <v>21</v>
      </c>
    </row>
    <row r="113" spans="1:7" ht="15" customHeight="1">
      <c r="A113" s="2" t="s">
        <v>351</v>
      </c>
      <c r="B113" s="20">
        <v>45678</v>
      </c>
      <c r="C113" s="2" t="s">
        <v>342</v>
      </c>
      <c r="D113" s="2" t="s">
        <v>42</v>
      </c>
      <c r="E113" s="2" t="s">
        <v>34</v>
      </c>
      <c r="F113" s="2" t="s">
        <v>165</v>
      </c>
      <c r="G113" s="2" t="s">
        <v>21</v>
      </c>
    </row>
    <row r="114" spans="1:7" ht="15" customHeight="1">
      <c r="A114" s="2" t="s">
        <v>126</v>
      </c>
      <c r="B114" s="20">
        <v>45679</v>
      </c>
      <c r="C114" s="2" t="s">
        <v>119</v>
      </c>
      <c r="D114" s="2" t="s">
        <v>42</v>
      </c>
      <c r="E114" s="2" t="s">
        <v>47</v>
      </c>
      <c r="F114" s="2" t="s">
        <v>127</v>
      </c>
      <c r="G114" s="2" t="s">
        <v>21</v>
      </c>
    </row>
    <row r="115" spans="1:7" ht="15" customHeight="1">
      <c r="A115" s="2" t="s">
        <v>234</v>
      </c>
      <c r="B115" s="20">
        <v>45679</v>
      </c>
      <c r="C115" s="2" t="s">
        <v>230</v>
      </c>
      <c r="D115" s="2" t="s">
        <v>9</v>
      </c>
      <c r="E115" s="2" t="s">
        <v>108</v>
      </c>
      <c r="F115" s="2" t="s">
        <v>29</v>
      </c>
      <c r="G115" s="2" t="s">
        <v>11</v>
      </c>
    </row>
    <row r="116" spans="1:7" ht="15" customHeight="1">
      <c r="A116" s="2" t="s">
        <v>366</v>
      </c>
      <c r="B116" s="20">
        <v>45680</v>
      </c>
      <c r="C116" s="2" t="s">
        <v>364</v>
      </c>
      <c r="D116" s="2" t="s">
        <v>9</v>
      </c>
      <c r="E116" s="2" t="s">
        <v>59</v>
      </c>
      <c r="F116" s="2" t="s">
        <v>24</v>
      </c>
      <c r="G116" s="2" t="s">
        <v>21</v>
      </c>
    </row>
    <row r="117" spans="1:7" ht="15" customHeight="1">
      <c r="A117" s="2" t="s">
        <v>569</v>
      </c>
      <c r="B117" s="20">
        <v>45680</v>
      </c>
      <c r="C117" s="2" t="s">
        <v>562</v>
      </c>
      <c r="D117" s="2" t="s">
        <v>9</v>
      </c>
      <c r="E117" s="2" t="s">
        <v>50</v>
      </c>
      <c r="F117" s="2" t="s">
        <v>168</v>
      </c>
      <c r="G117" s="2" t="s">
        <v>21</v>
      </c>
    </row>
    <row r="118" spans="1:7" ht="15" customHeight="1">
      <c r="A118" s="2" t="s">
        <v>235</v>
      </c>
      <c r="B118" s="20">
        <v>45681</v>
      </c>
      <c r="C118" s="2" t="s">
        <v>230</v>
      </c>
      <c r="D118" s="2" t="s">
        <v>9</v>
      </c>
      <c r="E118" s="2" t="s">
        <v>31</v>
      </c>
      <c r="F118" s="2" t="s">
        <v>72</v>
      </c>
      <c r="G118" s="2" t="s">
        <v>21</v>
      </c>
    </row>
    <row r="119" spans="1:7" ht="15" customHeight="1">
      <c r="A119" s="2" t="s">
        <v>417</v>
      </c>
      <c r="B119" s="20">
        <v>45681</v>
      </c>
      <c r="C119" s="2" t="s">
        <v>408</v>
      </c>
      <c r="D119" s="2" t="s">
        <v>9</v>
      </c>
      <c r="E119" s="2" t="s">
        <v>31</v>
      </c>
      <c r="F119" s="2" t="s">
        <v>191</v>
      </c>
      <c r="G119" s="2" t="s">
        <v>21</v>
      </c>
    </row>
    <row r="120" spans="1:7" ht="15" customHeight="1">
      <c r="A120" s="2" t="s">
        <v>447</v>
      </c>
      <c r="B120" s="20">
        <v>45681</v>
      </c>
      <c r="C120" s="2" t="s">
        <v>441</v>
      </c>
      <c r="D120" s="2" t="s">
        <v>9</v>
      </c>
      <c r="E120" s="2" t="s">
        <v>80</v>
      </c>
      <c r="F120" s="2" t="s">
        <v>195</v>
      </c>
      <c r="G120" s="2" t="s">
        <v>21</v>
      </c>
    </row>
    <row r="121" spans="1:7" ht="15" customHeight="1">
      <c r="A121" s="2" t="s">
        <v>459</v>
      </c>
      <c r="B121" s="20">
        <v>45681</v>
      </c>
      <c r="C121" s="2" t="s">
        <v>452</v>
      </c>
      <c r="D121" s="2" t="s">
        <v>9</v>
      </c>
      <c r="E121" s="2" t="s">
        <v>13</v>
      </c>
      <c r="F121" s="2" t="s">
        <v>106</v>
      </c>
      <c r="G121" s="2" t="s">
        <v>11</v>
      </c>
    </row>
    <row r="122" spans="1:7" ht="15" customHeight="1">
      <c r="A122" s="2" t="s">
        <v>483</v>
      </c>
      <c r="B122" s="20">
        <v>45681</v>
      </c>
      <c r="C122" s="2" t="s">
        <v>475</v>
      </c>
      <c r="D122" s="2" t="s">
        <v>26</v>
      </c>
      <c r="E122" s="2"/>
      <c r="F122" s="2"/>
      <c r="G122" s="2" t="s">
        <v>11</v>
      </c>
    </row>
    <row r="123" spans="1:7" ht="15" customHeight="1">
      <c r="A123" s="2" t="s">
        <v>236</v>
      </c>
      <c r="B123" s="20">
        <v>45682</v>
      </c>
      <c r="C123" s="2" t="s">
        <v>230</v>
      </c>
      <c r="D123" s="2" t="s">
        <v>26</v>
      </c>
      <c r="E123" s="2"/>
      <c r="F123" s="2"/>
      <c r="G123" s="2" t="s">
        <v>11</v>
      </c>
    </row>
    <row r="124" spans="1:7" ht="15" customHeight="1">
      <c r="A124" s="2" t="s">
        <v>285</v>
      </c>
      <c r="B124" s="20">
        <v>45682</v>
      </c>
      <c r="C124" s="2" t="s">
        <v>286</v>
      </c>
      <c r="D124" s="2" t="s">
        <v>26</v>
      </c>
      <c r="E124" s="2"/>
      <c r="F124" s="2"/>
      <c r="G124" s="2" t="s">
        <v>11</v>
      </c>
    </row>
    <row r="125" spans="1:7" ht="15" customHeight="1">
      <c r="A125" s="2" t="s">
        <v>501</v>
      </c>
      <c r="B125" s="20">
        <v>45682</v>
      </c>
      <c r="C125" s="2" t="s">
        <v>498</v>
      </c>
      <c r="D125" s="2" t="s">
        <v>9</v>
      </c>
      <c r="E125" s="2" t="s">
        <v>16</v>
      </c>
      <c r="F125" s="2" t="s">
        <v>103</v>
      </c>
      <c r="G125" s="2" t="s">
        <v>11</v>
      </c>
    </row>
    <row r="126" spans="1:7" ht="15" customHeight="1">
      <c r="A126" s="2" t="s">
        <v>249</v>
      </c>
      <c r="B126" s="20">
        <v>45683</v>
      </c>
      <c r="C126" s="2" t="s">
        <v>241</v>
      </c>
      <c r="D126" s="2" t="s">
        <v>9</v>
      </c>
      <c r="E126" s="2" t="s">
        <v>53</v>
      </c>
      <c r="F126" s="2" t="s">
        <v>211</v>
      </c>
      <c r="G126" s="2" t="s">
        <v>11</v>
      </c>
    </row>
    <row r="127" spans="1:7" ht="15" customHeight="1">
      <c r="A127" s="2" t="s">
        <v>333</v>
      </c>
      <c r="B127" s="20">
        <v>45683</v>
      </c>
      <c r="C127" s="2" t="s">
        <v>331</v>
      </c>
      <c r="D127" s="2" t="s">
        <v>9</v>
      </c>
      <c r="E127" s="2" t="s">
        <v>19</v>
      </c>
      <c r="F127" s="2" t="s">
        <v>51</v>
      </c>
      <c r="G127" s="2" t="s">
        <v>21</v>
      </c>
    </row>
    <row r="128" spans="1:7" ht="15" customHeight="1">
      <c r="A128" s="2" t="s">
        <v>490</v>
      </c>
      <c r="B128" s="20">
        <v>45683</v>
      </c>
      <c r="C128" s="2" t="s">
        <v>487</v>
      </c>
      <c r="D128" s="2" t="s">
        <v>42</v>
      </c>
      <c r="E128" s="2" t="s">
        <v>89</v>
      </c>
      <c r="F128" s="2" t="s">
        <v>68</v>
      </c>
      <c r="G128" s="2" t="s">
        <v>21</v>
      </c>
    </row>
    <row r="129" spans="1:7" ht="15" customHeight="1">
      <c r="A129" s="2" t="s">
        <v>502</v>
      </c>
      <c r="B129" s="20">
        <v>45683</v>
      </c>
      <c r="C129" s="2" t="s">
        <v>498</v>
      </c>
      <c r="D129" s="2" t="s">
        <v>9</v>
      </c>
      <c r="E129" s="2" t="s">
        <v>50</v>
      </c>
      <c r="F129" s="2" t="s">
        <v>44</v>
      </c>
      <c r="G129" s="2" t="s">
        <v>21</v>
      </c>
    </row>
    <row r="130" spans="1:7" ht="15" customHeight="1">
      <c r="A130" s="2" t="s">
        <v>573</v>
      </c>
      <c r="B130" s="20">
        <v>45683</v>
      </c>
      <c r="C130" s="2" t="s">
        <v>574</v>
      </c>
      <c r="D130" s="2" t="s">
        <v>9</v>
      </c>
      <c r="E130" s="2" t="s">
        <v>28</v>
      </c>
      <c r="F130" s="2" t="s">
        <v>168</v>
      </c>
      <c r="G130" s="2" t="s">
        <v>21</v>
      </c>
    </row>
    <row r="131" spans="1:7" ht="15" customHeight="1">
      <c r="A131" s="2" t="s">
        <v>18</v>
      </c>
      <c r="B131" s="20">
        <v>45684</v>
      </c>
      <c r="C131" s="2" t="s">
        <v>8</v>
      </c>
      <c r="D131" s="2" t="s">
        <v>9</v>
      </c>
      <c r="E131" s="2" t="s">
        <v>19</v>
      </c>
      <c r="F131" s="2" t="s">
        <v>20</v>
      </c>
      <c r="G131" s="2" t="s">
        <v>21</v>
      </c>
    </row>
    <row r="132" spans="1:7" ht="15" customHeight="1">
      <c r="A132" s="2" t="s">
        <v>224</v>
      </c>
      <c r="B132" s="20">
        <v>45684</v>
      </c>
      <c r="C132" s="2" t="s">
        <v>218</v>
      </c>
      <c r="D132" s="2" t="s">
        <v>9</v>
      </c>
      <c r="E132" s="2" t="s">
        <v>100</v>
      </c>
      <c r="F132" s="2" t="s">
        <v>68</v>
      </c>
      <c r="G132" s="2" t="s">
        <v>11</v>
      </c>
    </row>
    <row r="133" spans="1:7" ht="15" customHeight="1">
      <c r="A133" s="2" t="s">
        <v>244</v>
      </c>
      <c r="B133" s="20">
        <v>45684</v>
      </c>
      <c r="C133" s="2" t="s">
        <v>241</v>
      </c>
      <c r="D133" s="2" t="s">
        <v>9</v>
      </c>
      <c r="E133" s="2" t="s">
        <v>16</v>
      </c>
      <c r="F133" s="2" t="s">
        <v>122</v>
      </c>
      <c r="G133" s="2" t="s">
        <v>11</v>
      </c>
    </row>
    <row r="134" spans="1:7" ht="15" customHeight="1">
      <c r="A134" s="2" t="s">
        <v>251</v>
      </c>
      <c r="B134" s="20">
        <v>45684</v>
      </c>
      <c r="C134" s="2" t="s">
        <v>252</v>
      </c>
      <c r="D134" s="2" t="s">
        <v>42</v>
      </c>
      <c r="E134" s="2" t="s">
        <v>13</v>
      </c>
      <c r="F134" s="2" t="s">
        <v>35</v>
      </c>
      <c r="G134" s="2" t="s">
        <v>11</v>
      </c>
    </row>
    <row r="135" spans="1:7" ht="15" customHeight="1">
      <c r="A135" s="2" t="s">
        <v>307</v>
      </c>
      <c r="B135" s="20">
        <v>45684</v>
      </c>
      <c r="C135" s="2" t="s">
        <v>298</v>
      </c>
      <c r="D135" s="2" t="s">
        <v>9</v>
      </c>
      <c r="E135" s="2" t="s">
        <v>136</v>
      </c>
      <c r="F135" s="2" t="s">
        <v>127</v>
      </c>
      <c r="G135" s="2" t="s">
        <v>21</v>
      </c>
    </row>
    <row r="136" spans="1:7" ht="15" customHeight="1">
      <c r="A136" s="2" t="s">
        <v>338</v>
      </c>
      <c r="B136" s="20">
        <v>45684</v>
      </c>
      <c r="C136" s="2" t="s">
        <v>331</v>
      </c>
      <c r="D136" s="2" t="s">
        <v>9</v>
      </c>
      <c r="E136" s="2" t="s">
        <v>13</v>
      </c>
      <c r="F136" s="2" t="s">
        <v>127</v>
      </c>
      <c r="G136" s="2" t="s">
        <v>11</v>
      </c>
    </row>
    <row r="137" spans="1:7" ht="15" customHeight="1">
      <c r="A137" s="2" t="s">
        <v>228</v>
      </c>
      <c r="B137" s="20">
        <v>45685</v>
      </c>
      <c r="C137" s="2" t="s">
        <v>218</v>
      </c>
      <c r="D137" s="2" t="s">
        <v>9</v>
      </c>
      <c r="E137" s="2" t="s">
        <v>31</v>
      </c>
      <c r="F137" s="2" t="s">
        <v>113</v>
      </c>
      <c r="G137" s="2" t="s">
        <v>21</v>
      </c>
    </row>
    <row r="138" spans="1:7" ht="15" customHeight="1">
      <c r="A138" s="2" t="s">
        <v>239</v>
      </c>
      <c r="B138" s="20">
        <v>45685</v>
      </c>
      <c r="C138" s="2" t="s">
        <v>230</v>
      </c>
      <c r="D138" s="2" t="s">
        <v>9</v>
      </c>
      <c r="E138" s="2" t="s">
        <v>47</v>
      </c>
      <c r="F138" s="2" t="s">
        <v>37</v>
      </c>
      <c r="G138" s="2" t="s">
        <v>21</v>
      </c>
    </row>
    <row r="139" spans="1:7" ht="15" customHeight="1">
      <c r="A139" s="2" t="s">
        <v>267</v>
      </c>
      <c r="B139" s="20">
        <v>45685</v>
      </c>
      <c r="C139" s="2" t="s">
        <v>264</v>
      </c>
      <c r="D139" s="2" t="s">
        <v>26</v>
      </c>
      <c r="E139" s="2"/>
      <c r="F139" s="2"/>
      <c r="G139" s="2" t="s">
        <v>11</v>
      </c>
    </row>
    <row r="140" spans="1:7" ht="15" customHeight="1">
      <c r="A140" s="2" t="s">
        <v>329</v>
      </c>
      <c r="B140" s="20">
        <v>45685</v>
      </c>
      <c r="C140" s="2" t="s">
        <v>320</v>
      </c>
      <c r="D140" s="2" t="s">
        <v>9</v>
      </c>
      <c r="E140" s="2" t="s">
        <v>80</v>
      </c>
      <c r="F140" s="2" t="s">
        <v>86</v>
      </c>
      <c r="G140" s="2" t="s">
        <v>21</v>
      </c>
    </row>
    <row r="141" spans="1:7" ht="15" customHeight="1">
      <c r="A141" s="2" t="s">
        <v>385</v>
      </c>
      <c r="B141" s="20">
        <v>45685</v>
      </c>
      <c r="C141" s="2" t="s">
        <v>386</v>
      </c>
      <c r="D141" s="2" t="s">
        <v>42</v>
      </c>
      <c r="E141" s="2" t="s">
        <v>47</v>
      </c>
      <c r="F141" s="2" t="s">
        <v>68</v>
      </c>
      <c r="G141" s="2" t="s">
        <v>21</v>
      </c>
    </row>
    <row r="142" spans="1:7" ht="15" customHeight="1">
      <c r="A142" s="2" t="s">
        <v>438</v>
      </c>
      <c r="B142" s="20">
        <v>45685</v>
      </c>
      <c r="C142" s="2" t="s">
        <v>430</v>
      </c>
      <c r="D142" s="2" t="s">
        <v>26</v>
      </c>
      <c r="E142" s="2"/>
      <c r="F142" s="2"/>
      <c r="G142" s="2" t="s">
        <v>11</v>
      </c>
    </row>
    <row r="143" spans="1:7" ht="15" customHeight="1">
      <c r="A143" s="2" t="s">
        <v>494</v>
      </c>
      <c r="B143" s="20">
        <v>45685</v>
      </c>
      <c r="C143" s="2" t="s">
        <v>487</v>
      </c>
      <c r="D143" s="2" t="s">
        <v>9</v>
      </c>
      <c r="E143" s="2" t="s">
        <v>47</v>
      </c>
      <c r="F143" s="2" t="s">
        <v>32</v>
      </c>
      <c r="G143" s="2" t="s">
        <v>21</v>
      </c>
    </row>
    <row r="144" spans="1:7" ht="15" customHeight="1">
      <c r="A144" s="2" t="s">
        <v>121</v>
      </c>
      <c r="B144" s="20">
        <v>45686</v>
      </c>
      <c r="C144" s="2" t="s">
        <v>119</v>
      </c>
      <c r="D144" s="2" t="s">
        <v>9</v>
      </c>
      <c r="E144" s="2" t="s">
        <v>13</v>
      </c>
      <c r="F144" s="2" t="s">
        <v>122</v>
      </c>
      <c r="G144" s="2" t="s">
        <v>11</v>
      </c>
    </row>
    <row r="145" spans="1:7" ht="15" customHeight="1">
      <c r="A145" s="2" t="s">
        <v>174</v>
      </c>
      <c r="B145" s="20">
        <v>45686</v>
      </c>
      <c r="C145" s="2" t="s">
        <v>171</v>
      </c>
      <c r="D145" s="2" t="s">
        <v>26</v>
      </c>
      <c r="E145" s="2"/>
      <c r="F145" s="2"/>
      <c r="G145" s="2" t="s">
        <v>11</v>
      </c>
    </row>
    <row r="146" spans="1:7" ht="15" customHeight="1">
      <c r="A146" s="2" t="s">
        <v>204</v>
      </c>
      <c r="B146" s="20">
        <v>45686</v>
      </c>
      <c r="C146" s="2" t="s">
        <v>194</v>
      </c>
      <c r="D146" s="2" t="s">
        <v>9</v>
      </c>
      <c r="E146" s="2" t="s">
        <v>13</v>
      </c>
      <c r="F146" s="2" t="s">
        <v>35</v>
      </c>
      <c r="G146" s="2" t="s">
        <v>11</v>
      </c>
    </row>
    <row r="147" spans="1:7" ht="15" customHeight="1">
      <c r="A147" s="2" t="s">
        <v>383</v>
      </c>
      <c r="B147" s="20">
        <v>45686</v>
      </c>
      <c r="C147" s="2" t="s">
        <v>375</v>
      </c>
      <c r="D147" s="2" t="s">
        <v>42</v>
      </c>
      <c r="E147" s="2" t="s">
        <v>100</v>
      </c>
      <c r="F147" s="2" t="s">
        <v>68</v>
      </c>
      <c r="G147" s="2" t="s">
        <v>11</v>
      </c>
    </row>
    <row r="148" spans="1:7" ht="15" customHeight="1">
      <c r="A148" s="2" t="s">
        <v>565</v>
      </c>
      <c r="B148" s="20">
        <v>45686</v>
      </c>
      <c r="C148" s="2" t="s">
        <v>562</v>
      </c>
      <c r="D148" s="2" t="s">
        <v>42</v>
      </c>
      <c r="E148" s="2" t="s">
        <v>105</v>
      </c>
      <c r="F148" s="2" t="s">
        <v>127</v>
      </c>
      <c r="G148" s="2" t="s">
        <v>21</v>
      </c>
    </row>
    <row r="149" spans="1:7" ht="15" customHeight="1">
      <c r="A149" s="2" t="s">
        <v>400</v>
      </c>
      <c r="B149" s="20">
        <v>45687</v>
      </c>
      <c r="C149" s="2" t="s">
        <v>397</v>
      </c>
      <c r="D149" s="2" t="s">
        <v>42</v>
      </c>
      <c r="E149" s="2" t="s">
        <v>40</v>
      </c>
      <c r="F149" s="2" t="s">
        <v>24</v>
      </c>
      <c r="G149" s="2" t="s">
        <v>11</v>
      </c>
    </row>
    <row r="150" spans="1:7" ht="15" customHeight="1">
      <c r="A150" s="2" t="s">
        <v>495</v>
      </c>
      <c r="B150" s="20">
        <v>45687</v>
      </c>
      <c r="C150" s="2" t="s">
        <v>487</v>
      </c>
      <c r="D150" s="2" t="s">
        <v>42</v>
      </c>
      <c r="E150" s="2" t="s">
        <v>100</v>
      </c>
      <c r="F150" s="2" t="s">
        <v>29</v>
      </c>
      <c r="G150" s="2" t="s">
        <v>11</v>
      </c>
    </row>
    <row r="151" spans="1:7" ht="15" customHeight="1">
      <c r="A151" s="2" t="s">
        <v>506</v>
      </c>
      <c r="B151" s="20">
        <v>45687</v>
      </c>
      <c r="C151" s="2" t="s">
        <v>498</v>
      </c>
      <c r="D151" s="2" t="s">
        <v>9</v>
      </c>
      <c r="E151" s="2" t="s">
        <v>53</v>
      </c>
      <c r="F151" s="2" t="s">
        <v>10</v>
      </c>
      <c r="G151" s="2" t="s">
        <v>11</v>
      </c>
    </row>
    <row r="152" spans="1:7" ht="15" customHeight="1">
      <c r="A152" s="2" t="s">
        <v>608</v>
      </c>
      <c r="B152" s="20">
        <v>45687</v>
      </c>
      <c r="C152" s="2" t="s">
        <v>609</v>
      </c>
      <c r="D152" s="2" t="s">
        <v>26</v>
      </c>
      <c r="E152" s="2"/>
      <c r="F152" s="2"/>
      <c r="G152" s="2" t="s">
        <v>610</v>
      </c>
    </row>
    <row r="153" spans="1:7" ht="15" customHeight="1">
      <c r="A153" s="2" t="s">
        <v>314</v>
      </c>
      <c r="B153" s="20">
        <v>45688</v>
      </c>
      <c r="C153" s="2" t="s">
        <v>309</v>
      </c>
      <c r="D153" s="2" t="s">
        <v>42</v>
      </c>
      <c r="E153" s="2" t="s">
        <v>28</v>
      </c>
      <c r="F153" s="2" t="s">
        <v>90</v>
      </c>
      <c r="G153" s="2" t="s">
        <v>21</v>
      </c>
    </row>
    <row r="154" spans="1:7" ht="15" customHeight="1">
      <c r="A154" s="2" t="s">
        <v>354</v>
      </c>
      <c r="B154" s="20">
        <v>45688</v>
      </c>
      <c r="C154" s="2" t="s">
        <v>353</v>
      </c>
      <c r="D154" s="2" t="s">
        <v>42</v>
      </c>
      <c r="E154" s="2" t="s">
        <v>23</v>
      </c>
      <c r="F154" s="2" t="s">
        <v>154</v>
      </c>
      <c r="G154" s="2" t="s">
        <v>11</v>
      </c>
    </row>
    <row r="155" spans="1:7" ht="15" customHeight="1">
      <c r="A155" s="2" t="s">
        <v>363</v>
      </c>
      <c r="B155" s="20">
        <v>45688</v>
      </c>
      <c r="C155" s="2" t="s">
        <v>364</v>
      </c>
      <c r="D155" s="2" t="s">
        <v>9</v>
      </c>
      <c r="E155" s="2" t="s">
        <v>53</v>
      </c>
      <c r="F155" s="2" t="s">
        <v>44</v>
      </c>
      <c r="G155" s="2" t="s">
        <v>11</v>
      </c>
    </row>
    <row r="156" spans="1:7" ht="15" customHeight="1">
      <c r="A156" s="2" t="s">
        <v>398</v>
      </c>
      <c r="B156" s="20">
        <v>45688</v>
      </c>
      <c r="C156" s="2" t="s">
        <v>397</v>
      </c>
      <c r="D156" s="2" t="s">
        <v>42</v>
      </c>
      <c r="E156" s="2" t="s">
        <v>57</v>
      </c>
      <c r="F156" s="2" t="s">
        <v>48</v>
      </c>
      <c r="G156" s="2" t="s">
        <v>11</v>
      </c>
    </row>
    <row r="157" spans="1:7" ht="15" customHeight="1">
      <c r="A157" s="2" t="s">
        <v>120</v>
      </c>
      <c r="B157" s="20">
        <v>45689</v>
      </c>
      <c r="C157" s="2" t="s">
        <v>119</v>
      </c>
      <c r="D157" s="2" t="s">
        <v>26</v>
      </c>
      <c r="E157" s="2"/>
      <c r="F157" s="2"/>
      <c r="G157" s="2" t="s">
        <v>11</v>
      </c>
    </row>
    <row r="158" spans="1:7" ht="15" customHeight="1">
      <c r="A158" s="2" t="s">
        <v>263</v>
      </c>
      <c r="B158" s="20">
        <v>45689</v>
      </c>
      <c r="C158" s="2" t="s">
        <v>264</v>
      </c>
      <c r="D158" s="2" t="s">
        <v>9</v>
      </c>
      <c r="E158" s="2" t="s">
        <v>115</v>
      </c>
      <c r="F158" s="2" t="s">
        <v>92</v>
      </c>
      <c r="G158" s="2" t="s">
        <v>21</v>
      </c>
    </row>
    <row r="159" spans="1:7" ht="15" customHeight="1">
      <c r="A159" s="2" t="s">
        <v>304</v>
      </c>
      <c r="B159" s="20">
        <v>45689</v>
      </c>
      <c r="C159" s="2" t="s">
        <v>298</v>
      </c>
      <c r="D159" s="2" t="s">
        <v>42</v>
      </c>
      <c r="E159" s="2" t="s">
        <v>50</v>
      </c>
      <c r="F159" s="2" t="s">
        <v>122</v>
      </c>
      <c r="G159" s="2" t="s">
        <v>21</v>
      </c>
    </row>
    <row r="160" spans="1:7" ht="15" customHeight="1">
      <c r="A160" s="2" t="s">
        <v>381</v>
      </c>
      <c r="B160" s="20">
        <v>45689</v>
      </c>
      <c r="C160" s="2" t="s">
        <v>375</v>
      </c>
      <c r="D160" s="2" t="s">
        <v>9</v>
      </c>
      <c r="E160" s="2" t="s">
        <v>50</v>
      </c>
      <c r="F160" s="2" t="s">
        <v>154</v>
      </c>
      <c r="G160" s="2" t="s">
        <v>21</v>
      </c>
    </row>
    <row r="161" spans="1:7" ht="15" customHeight="1">
      <c r="A161" s="2" t="s">
        <v>546</v>
      </c>
      <c r="B161" s="20">
        <v>45689</v>
      </c>
      <c r="C161" s="2" t="s">
        <v>541</v>
      </c>
      <c r="D161" s="2" t="s">
        <v>9</v>
      </c>
      <c r="E161" s="2" t="s">
        <v>105</v>
      </c>
      <c r="F161" s="2" t="s">
        <v>195</v>
      </c>
      <c r="G161" s="2" t="s">
        <v>21</v>
      </c>
    </row>
    <row r="162" spans="1:7" ht="15" customHeight="1">
      <c r="A162" s="2" t="s">
        <v>556</v>
      </c>
      <c r="B162" s="20">
        <v>45689</v>
      </c>
      <c r="C162" s="2" t="s">
        <v>551</v>
      </c>
      <c r="D162" s="2" t="s">
        <v>9</v>
      </c>
      <c r="E162" s="2" t="s">
        <v>158</v>
      </c>
      <c r="F162" s="2" t="s">
        <v>32</v>
      </c>
      <c r="G162" s="2" t="s">
        <v>11</v>
      </c>
    </row>
    <row r="163" spans="1:7" ht="15" customHeight="1">
      <c r="A163" s="2" t="s">
        <v>616</v>
      </c>
      <c r="B163" s="20">
        <v>45689</v>
      </c>
      <c r="C163" s="2" t="s">
        <v>609</v>
      </c>
      <c r="D163" s="2" t="s">
        <v>42</v>
      </c>
      <c r="E163" s="2" t="s">
        <v>226</v>
      </c>
      <c r="F163" s="2" t="s">
        <v>195</v>
      </c>
      <c r="G163" s="2" t="s">
        <v>11</v>
      </c>
    </row>
    <row r="164" spans="1:7" ht="15" customHeight="1">
      <c r="A164" s="2" t="s">
        <v>629</v>
      </c>
      <c r="B164" s="20">
        <v>45689</v>
      </c>
      <c r="C164" s="2" t="s">
        <v>621</v>
      </c>
      <c r="D164" s="2" t="s">
        <v>26</v>
      </c>
      <c r="E164" s="2"/>
      <c r="F164" s="2"/>
      <c r="G164" s="2" t="s">
        <v>11</v>
      </c>
    </row>
    <row r="165" spans="1:7" ht="15" customHeight="1">
      <c r="A165" s="2" t="s">
        <v>112</v>
      </c>
      <c r="B165" s="20">
        <v>45690</v>
      </c>
      <c r="C165" s="2" t="s">
        <v>99</v>
      </c>
      <c r="D165" s="2" t="s">
        <v>9</v>
      </c>
      <c r="E165" s="2" t="s">
        <v>47</v>
      </c>
      <c r="F165" s="2" t="s">
        <v>113</v>
      </c>
      <c r="G165" s="2" t="s">
        <v>21</v>
      </c>
    </row>
    <row r="166" spans="1:7" ht="15" customHeight="1">
      <c r="A166" s="2" t="s">
        <v>327</v>
      </c>
      <c r="B166" s="20">
        <v>45690</v>
      </c>
      <c r="C166" s="2" t="s">
        <v>320</v>
      </c>
      <c r="D166" s="2" t="s">
        <v>42</v>
      </c>
      <c r="E166" s="2" t="s">
        <v>43</v>
      </c>
      <c r="F166" s="2" t="s">
        <v>35</v>
      </c>
      <c r="G166" s="2" t="s">
        <v>21</v>
      </c>
    </row>
    <row r="167" spans="1:7" ht="15" customHeight="1">
      <c r="A167" s="2" t="s">
        <v>460</v>
      </c>
      <c r="B167" s="20">
        <v>45690</v>
      </c>
      <c r="C167" s="2" t="s">
        <v>452</v>
      </c>
      <c r="D167" s="2" t="s">
        <v>9</v>
      </c>
      <c r="E167" s="2" t="s">
        <v>19</v>
      </c>
      <c r="F167" s="2" t="s">
        <v>113</v>
      </c>
      <c r="G167" s="2" t="s">
        <v>21</v>
      </c>
    </row>
    <row r="168" spans="1:7" ht="15" customHeight="1">
      <c r="A168" s="2" t="s">
        <v>466</v>
      </c>
      <c r="B168" s="20">
        <v>45690</v>
      </c>
      <c r="C168" s="2" t="s">
        <v>464</v>
      </c>
      <c r="D168" s="2" t="s">
        <v>26</v>
      </c>
      <c r="E168" s="2"/>
      <c r="F168" s="2"/>
      <c r="G168" s="2" t="s">
        <v>11</v>
      </c>
    </row>
    <row r="169" spans="1:7" ht="15" customHeight="1">
      <c r="A169" s="2" t="s">
        <v>595</v>
      </c>
      <c r="B169" s="20">
        <v>45690</v>
      </c>
      <c r="C169" s="2" t="s">
        <v>586</v>
      </c>
      <c r="D169" s="2" t="s">
        <v>42</v>
      </c>
      <c r="E169" s="2" t="s">
        <v>40</v>
      </c>
      <c r="F169" s="2" t="s">
        <v>14</v>
      </c>
      <c r="G169" s="2" t="s">
        <v>11</v>
      </c>
    </row>
    <row r="170" spans="1:7" ht="15" customHeight="1">
      <c r="A170" s="2" t="s">
        <v>60</v>
      </c>
      <c r="B170" s="20">
        <v>45691</v>
      </c>
      <c r="C170" s="2" t="s">
        <v>39</v>
      </c>
      <c r="D170" s="2" t="s">
        <v>9</v>
      </c>
      <c r="E170" s="2" t="s">
        <v>61</v>
      </c>
      <c r="F170" s="2" t="s">
        <v>17</v>
      </c>
      <c r="G170" s="2" t="s">
        <v>21</v>
      </c>
    </row>
    <row r="171" spans="1:7" ht="15" customHeight="1">
      <c r="A171" s="2" t="s">
        <v>67</v>
      </c>
      <c r="B171" s="20">
        <v>45691</v>
      </c>
      <c r="C171" s="2" t="s">
        <v>64</v>
      </c>
      <c r="D171" s="2" t="s">
        <v>9</v>
      </c>
      <c r="E171" s="2" t="s">
        <v>19</v>
      </c>
      <c r="F171" s="2" t="s">
        <v>68</v>
      </c>
      <c r="G171" s="2" t="s">
        <v>21</v>
      </c>
    </row>
    <row r="172" spans="1:7" ht="15" customHeight="1">
      <c r="A172" s="2" t="s">
        <v>87</v>
      </c>
      <c r="B172" s="20">
        <v>45691</v>
      </c>
      <c r="C172" s="2" t="s">
        <v>83</v>
      </c>
      <c r="D172" s="2" t="s">
        <v>9</v>
      </c>
      <c r="E172" s="2" t="s">
        <v>19</v>
      </c>
      <c r="F172" s="2" t="s">
        <v>37</v>
      </c>
      <c r="G172" s="2" t="s">
        <v>21</v>
      </c>
    </row>
    <row r="173" spans="1:7" ht="15" customHeight="1">
      <c r="A173" s="2" t="s">
        <v>238</v>
      </c>
      <c r="B173" s="20">
        <v>45691</v>
      </c>
      <c r="C173" s="2" t="s">
        <v>230</v>
      </c>
      <c r="D173" s="2" t="s">
        <v>26</v>
      </c>
      <c r="E173" s="2"/>
      <c r="F173" s="2"/>
      <c r="G173" s="2" t="s">
        <v>11</v>
      </c>
    </row>
    <row r="174" spans="1:7" ht="15" customHeight="1">
      <c r="A174" s="2" t="s">
        <v>340</v>
      </c>
      <c r="B174" s="20">
        <v>45691</v>
      </c>
      <c r="C174" s="2" t="s">
        <v>331</v>
      </c>
      <c r="D174" s="2" t="s">
        <v>26</v>
      </c>
      <c r="E174" s="2"/>
      <c r="F174" s="2"/>
      <c r="G174" s="2" t="s">
        <v>11</v>
      </c>
    </row>
    <row r="175" spans="1:7" ht="15" customHeight="1">
      <c r="A175" s="2" t="s">
        <v>455</v>
      </c>
      <c r="B175" s="20">
        <v>45691</v>
      </c>
      <c r="C175" s="2" t="s">
        <v>452</v>
      </c>
      <c r="D175" s="2" t="s">
        <v>26</v>
      </c>
      <c r="E175" s="2"/>
      <c r="F175" s="2"/>
      <c r="G175" s="2" t="s">
        <v>11</v>
      </c>
    </row>
    <row r="176" spans="1:7" ht="15" customHeight="1">
      <c r="A176" s="2" t="s">
        <v>473</v>
      </c>
      <c r="B176" s="20">
        <v>45691</v>
      </c>
      <c r="C176" s="2" t="s">
        <v>464</v>
      </c>
      <c r="D176" s="2" t="s">
        <v>42</v>
      </c>
      <c r="E176" s="2" t="s">
        <v>28</v>
      </c>
      <c r="F176" s="2" t="s">
        <v>66</v>
      </c>
      <c r="G176" s="2" t="s">
        <v>21</v>
      </c>
    </row>
    <row r="177" spans="1:7" ht="15" customHeight="1">
      <c r="A177" s="2" t="s">
        <v>52</v>
      </c>
      <c r="B177" s="20">
        <v>45692</v>
      </c>
      <c r="C177" s="2" t="s">
        <v>39</v>
      </c>
      <c r="D177" s="2" t="s">
        <v>42</v>
      </c>
      <c r="E177" s="2" t="s">
        <v>53</v>
      </c>
      <c r="F177" s="2" t="s">
        <v>10</v>
      </c>
      <c r="G177" s="2" t="s">
        <v>11</v>
      </c>
    </row>
    <row r="178" spans="1:7" ht="15" customHeight="1">
      <c r="A178" s="2" t="s">
        <v>133</v>
      </c>
      <c r="B178" s="20">
        <v>45692</v>
      </c>
      <c r="C178" s="2" t="s">
        <v>132</v>
      </c>
      <c r="D178" s="2" t="s">
        <v>9</v>
      </c>
      <c r="E178" s="2" t="s">
        <v>16</v>
      </c>
      <c r="F178" s="2" t="s">
        <v>68</v>
      </c>
      <c r="G178" s="2" t="s">
        <v>11</v>
      </c>
    </row>
    <row r="179" spans="1:7" ht="15" customHeight="1">
      <c r="A179" s="2" t="s">
        <v>147</v>
      </c>
      <c r="B179" s="20">
        <v>45692</v>
      </c>
      <c r="C179" s="2" t="s">
        <v>144</v>
      </c>
      <c r="D179" s="2" t="s">
        <v>9</v>
      </c>
      <c r="E179" s="2" t="s">
        <v>108</v>
      </c>
      <c r="F179" s="2" t="s">
        <v>72</v>
      </c>
      <c r="G179" s="2" t="s">
        <v>11</v>
      </c>
    </row>
    <row r="180" spans="1:7" ht="15" customHeight="1">
      <c r="A180" s="2" t="s">
        <v>179</v>
      </c>
      <c r="B180" s="20">
        <v>45692</v>
      </c>
      <c r="C180" s="2" t="s">
        <v>171</v>
      </c>
      <c r="D180" s="2" t="s">
        <v>9</v>
      </c>
      <c r="E180" s="2" t="s">
        <v>57</v>
      </c>
      <c r="F180" s="2" t="s">
        <v>106</v>
      </c>
      <c r="G180" s="2" t="s">
        <v>11</v>
      </c>
    </row>
    <row r="181" spans="1:7" ht="15" customHeight="1">
      <c r="A181" s="2" t="s">
        <v>299</v>
      </c>
      <c r="B181" s="20">
        <v>45692</v>
      </c>
      <c r="C181" s="2" t="s">
        <v>298</v>
      </c>
      <c r="D181" s="2" t="s">
        <v>9</v>
      </c>
      <c r="E181" s="2" t="s">
        <v>53</v>
      </c>
      <c r="F181" s="2" t="s">
        <v>168</v>
      </c>
      <c r="G181" s="2" t="s">
        <v>11</v>
      </c>
    </row>
    <row r="182" spans="1:7" ht="15" customHeight="1">
      <c r="A182" s="2" t="s">
        <v>313</v>
      </c>
      <c r="B182" s="20">
        <v>45692</v>
      </c>
      <c r="C182" s="2" t="s">
        <v>309</v>
      </c>
      <c r="D182" s="2" t="s">
        <v>42</v>
      </c>
      <c r="E182" s="2" t="s">
        <v>80</v>
      </c>
      <c r="F182" s="2" t="s">
        <v>168</v>
      </c>
      <c r="G182" s="2" t="s">
        <v>21</v>
      </c>
    </row>
    <row r="183" spans="1:7" ht="15" customHeight="1">
      <c r="A183" s="2" t="s">
        <v>439</v>
      </c>
      <c r="B183" s="20">
        <v>45692</v>
      </c>
      <c r="C183" s="2" t="s">
        <v>430</v>
      </c>
      <c r="D183" s="2" t="s">
        <v>26</v>
      </c>
      <c r="E183" s="2"/>
      <c r="F183" s="2"/>
      <c r="G183" s="2" t="s">
        <v>11</v>
      </c>
    </row>
    <row r="184" spans="1:7" ht="15" customHeight="1">
      <c r="A184" s="2" t="s">
        <v>465</v>
      </c>
      <c r="B184" s="20">
        <v>45692</v>
      </c>
      <c r="C184" s="2" t="s">
        <v>464</v>
      </c>
      <c r="D184" s="2" t="s">
        <v>9</v>
      </c>
      <c r="E184" s="2" t="s">
        <v>80</v>
      </c>
      <c r="F184" s="2" t="s">
        <v>37</v>
      </c>
      <c r="G184" s="2" t="s">
        <v>21</v>
      </c>
    </row>
    <row r="185" spans="1:7" ht="15" customHeight="1">
      <c r="A185" s="2" t="s">
        <v>91</v>
      </c>
      <c r="B185" s="20">
        <v>45693</v>
      </c>
      <c r="C185" s="2" t="s">
        <v>83</v>
      </c>
      <c r="D185" s="2" t="s">
        <v>42</v>
      </c>
      <c r="E185" s="2" t="s">
        <v>31</v>
      </c>
      <c r="F185" s="2" t="s">
        <v>92</v>
      </c>
      <c r="G185" s="2" t="s">
        <v>21</v>
      </c>
    </row>
    <row r="186" spans="1:7" ht="15" customHeight="1">
      <c r="A186" s="2" t="s">
        <v>254</v>
      </c>
      <c r="B186" s="20">
        <v>45693</v>
      </c>
      <c r="C186" s="2" t="s">
        <v>252</v>
      </c>
      <c r="D186" s="2" t="s">
        <v>26</v>
      </c>
      <c r="E186" s="2"/>
      <c r="F186" s="2"/>
      <c r="G186" s="2" t="s">
        <v>11</v>
      </c>
    </row>
    <row r="187" spans="1:7" ht="15" customHeight="1">
      <c r="A187" s="2" t="s">
        <v>316</v>
      </c>
      <c r="B187" s="20">
        <v>45693</v>
      </c>
      <c r="C187" s="2" t="s">
        <v>309</v>
      </c>
      <c r="D187" s="2" t="s">
        <v>26</v>
      </c>
      <c r="E187" s="2"/>
      <c r="F187" s="2"/>
      <c r="G187" s="2" t="s">
        <v>11</v>
      </c>
    </row>
    <row r="188" spans="1:7" ht="15" customHeight="1">
      <c r="A188" s="2" t="s">
        <v>530</v>
      </c>
      <c r="B188" s="20">
        <v>45693</v>
      </c>
      <c r="C188" s="2" t="s">
        <v>531</v>
      </c>
      <c r="D188" s="2" t="s">
        <v>9</v>
      </c>
      <c r="E188" s="2" t="s">
        <v>28</v>
      </c>
      <c r="F188" s="2" t="s">
        <v>103</v>
      </c>
      <c r="G188" s="2" t="s">
        <v>21</v>
      </c>
    </row>
    <row r="189" spans="1:7" ht="15" customHeight="1">
      <c r="A189" s="2" t="s">
        <v>12</v>
      </c>
      <c r="B189" s="20">
        <v>45694</v>
      </c>
      <c r="C189" s="2" t="s">
        <v>8</v>
      </c>
      <c r="D189" s="2" t="s">
        <v>9</v>
      </c>
      <c r="E189" s="2" t="s">
        <v>13</v>
      </c>
      <c r="F189" s="2" t="s">
        <v>14</v>
      </c>
      <c r="G189" s="2" t="s">
        <v>11</v>
      </c>
    </row>
    <row r="190" spans="1:7" ht="15" customHeight="1">
      <c r="A190" s="2" t="s">
        <v>150</v>
      </c>
      <c r="B190" s="20">
        <v>45694</v>
      </c>
      <c r="C190" s="2" t="s">
        <v>144</v>
      </c>
      <c r="D190" s="2" t="s">
        <v>42</v>
      </c>
      <c r="E190" s="2" t="s">
        <v>47</v>
      </c>
      <c r="F190" s="2" t="s">
        <v>113</v>
      </c>
      <c r="G190" s="2" t="s">
        <v>21</v>
      </c>
    </row>
    <row r="191" spans="1:7" ht="15" customHeight="1">
      <c r="A191" s="2" t="s">
        <v>517</v>
      </c>
      <c r="B191" s="20">
        <v>45694</v>
      </c>
      <c r="C191" s="2" t="s">
        <v>510</v>
      </c>
      <c r="D191" s="2" t="s">
        <v>9</v>
      </c>
      <c r="E191" s="2" t="s">
        <v>50</v>
      </c>
      <c r="F191" s="2" t="s">
        <v>48</v>
      </c>
      <c r="G191" s="2" t="s">
        <v>21</v>
      </c>
    </row>
    <row r="192" spans="1:7" ht="15" customHeight="1">
      <c r="A192" s="2" t="s">
        <v>627</v>
      </c>
      <c r="B192" s="20">
        <v>45694</v>
      </c>
      <c r="C192" s="2" t="s">
        <v>621</v>
      </c>
      <c r="D192" s="2" t="s">
        <v>9</v>
      </c>
      <c r="E192" s="2" t="s">
        <v>40</v>
      </c>
      <c r="F192" s="2" t="s">
        <v>261</v>
      </c>
      <c r="G192" s="2" t="s">
        <v>11</v>
      </c>
    </row>
    <row r="193" spans="1:7" ht="15" customHeight="1">
      <c r="A193" s="2" t="s">
        <v>49</v>
      </c>
      <c r="B193" s="20">
        <v>45695</v>
      </c>
      <c r="C193" s="2" t="s">
        <v>39</v>
      </c>
      <c r="D193" s="2" t="s">
        <v>9</v>
      </c>
      <c r="E193" s="2" t="s">
        <v>50</v>
      </c>
      <c r="F193" s="2" t="s">
        <v>51</v>
      </c>
      <c r="G193" s="2" t="s">
        <v>21</v>
      </c>
    </row>
    <row r="194" spans="1:7" ht="15" customHeight="1">
      <c r="A194" s="2" t="s">
        <v>187</v>
      </c>
      <c r="B194" s="20">
        <v>45695</v>
      </c>
      <c r="C194" s="2" t="s">
        <v>182</v>
      </c>
      <c r="D194" s="2" t="s">
        <v>42</v>
      </c>
      <c r="E194" s="2" t="s">
        <v>34</v>
      </c>
      <c r="F194" s="2" t="s">
        <v>51</v>
      </c>
      <c r="G194" s="2" t="s">
        <v>21</v>
      </c>
    </row>
    <row r="195" spans="1:7" ht="15" customHeight="1">
      <c r="A195" s="2" t="s">
        <v>344</v>
      </c>
      <c r="B195" s="20">
        <v>45695</v>
      </c>
      <c r="C195" s="2" t="s">
        <v>342</v>
      </c>
      <c r="D195" s="2" t="s">
        <v>9</v>
      </c>
      <c r="E195" s="2" t="s">
        <v>226</v>
      </c>
      <c r="F195" s="2" t="s">
        <v>127</v>
      </c>
      <c r="G195" s="2" t="s">
        <v>11</v>
      </c>
    </row>
    <row r="196" spans="1:7" ht="15" customHeight="1">
      <c r="A196" s="2" t="s">
        <v>479</v>
      </c>
      <c r="B196" s="20">
        <v>45695</v>
      </c>
      <c r="C196" s="2" t="s">
        <v>475</v>
      </c>
      <c r="D196" s="2" t="s">
        <v>9</v>
      </c>
      <c r="E196" s="2" t="s">
        <v>43</v>
      </c>
      <c r="F196" s="2" t="s">
        <v>29</v>
      </c>
      <c r="G196" s="2" t="s">
        <v>21</v>
      </c>
    </row>
    <row r="197" spans="1:7" ht="15" customHeight="1">
      <c r="A197" s="2" t="s">
        <v>592</v>
      </c>
      <c r="B197" s="20">
        <v>45695</v>
      </c>
      <c r="C197" s="2" t="s">
        <v>586</v>
      </c>
      <c r="D197" s="2" t="s">
        <v>9</v>
      </c>
      <c r="E197" s="2" t="s">
        <v>57</v>
      </c>
      <c r="F197" s="2" t="s">
        <v>90</v>
      </c>
      <c r="G197" s="2" t="s">
        <v>11</v>
      </c>
    </row>
    <row r="198" spans="1:7" ht="15" customHeight="1">
      <c r="A198" s="2" t="s">
        <v>129</v>
      </c>
      <c r="B198" s="20">
        <v>45696</v>
      </c>
      <c r="C198" s="2" t="s">
        <v>119</v>
      </c>
      <c r="D198" s="2" t="s">
        <v>9</v>
      </c>
      <c r="E198" s="2" t="s">
        <v>40</v>
      </c>
      <c r="F198" s="2" t="s">
        <v>32</v>
      </c>
      <c r="G198" s="2" t="s">
        <v>11</v>
      </c>
    </row>
    <row r="199" spans="1:7" ht="15" customHeight="1">
      <c r="A199" s="2" t="s">
        <v>318</v>
      </c>
      <c r="B199" s="20">
        <v>45696</v>
      </c>
      <c r="C199" s="2" t="s">
        <v>309</v>
      </c>
      <c r="D199" s="2" t="s">
        <v>26</v>
      </c>
      <c r="E199" s="2"/>
      <c r="F199" s="2"/>
      <c r="G199" s="2" t="s">
        <v>11</v>
      </c>
    </row>
    <row r="200" spans="1:7" ht="15" customHeight="1">
      <c r="A200" s="2" t="s">
        <v>553</v>
      </c>
      <c r="B200" s="20">
        <v>45696</v>
      </c>
      <c r="C200" s="2" t="s">
        <v>551</v>
      </c>
      <c r="D200" s="2" t="s">
        <v>26</v>
      </c>
      <c r="E200" s="2"/>
      <c r="F200" s="2"/>
      <c r="G200" s="2" t="s">
        <v>11</v>
      </c>
    </row>
    <row r="201" spans="1:7" ht="15" customHeight="1">
      <c r="A201" s="2" t="s">
        <v>599</v>
      </c>
      <c r="B201" s="20">
        <v>45696</v>
      </c>
      <c r="C201" s="2" t="s">
        <v>598</v>
      </c>
      <c r="D201" s="2" t="s">
        <v>26</v>
      </c>
      <c r="E201" s="2"/>
      <c r="F201" s="2"/>
      <c r="G201" s="2" t="s">
        <v>11</v>
      </c>
    </row>
    <row r="202" spans="1:7" ht="15" customHeight="1">
      <c r="A202" s="2" t="s">
        <v>330</v>
      </c>
      <c r="B202" s="20">
        <v>45697</v>
      </c>
      <c r="C202" s="2" t="s">
        <v>331</v>
      </c>
      <c r="D202" s="2" t="s">
        <v>9</v>
      </c>
      <c r="E202" s="2" t="s">
        <v>136</v>
      </c>
      <c r="F202" s="2" t="s">
        <v>24</v>
      </c>
      <c r="G202" s="2" t="s">
        <v>21</v>
      </c>
    </row>
    <row r="203" spans="1:7" ht="15" customHeight="1">
      <c r="A203" s="2" t="s">
        <v>362</v>
      </c>
      <c r="B203" s="20">
        <v>45697</v>
      </c>
      <c r="C203" s="2" t="s">
        <v>353</v>
      </c>
      <c r="D203" s="2" t="s">
        <v>42</v>
      </c>
      <c r="E203" s="2" t="s">
        <v>19</v>
      </c>
      <c r="F203" s="2" t="s">
        <v>292</v>
      </c>
      <c r="G203" s="2" t="s">
        <v>21</v>
      </c>
    </row>
    <row r="204" spans="1:7" ht="15" customHeight="1">
      <c r="A204" s="2" t="s">
        <v>463</v>
      </c>
      <c r="B204" s="20">
        <v>45697</v>
      </c>
      <c r="C204" s="2" t="s">
        <v>464</v>
      </c>
      <c r="D204" s="2" t="s">
        <v>42</v>
      </c>
      <c r="E204" s="2" t="s">
        <v>80</v>
      </c>
      <c r="F204" s="2" t="s">
        <v>75</v>
      </c>
      <c r="G204" s="2">
        <v>1</v>
      </c>
    </row>
    <row r="205" spans="1:7" ht="15" customHeight="1">
      <c r="A205" s="2" t="s">
        <v>280</v>
      </c>
      <c r="B205" s="20">
        <v>45698</v>
      </c>
      <c r="C205" s="2" t="s">
        <v>275</v>
      </c>
      <c r="D205" s="2" t="s">
        <v>26</v>
      </c>
      <c r="E205" s="2"/>
      <c r="F205" s="2"/>
      <c r="G205" s="2" t="s">
        <v>11</v>
      </c>
    </row>
    <row r="206" spans="1:7" ht="15" customHeight="1">
      <c r="A206" s="2" t="s">
        <v>335</v>
      </c>
      <c r="B206" s="20">
        <v>45698</v>
      </c>
      <c r="C206" s="2" t="s">
        <v>331</v>
      </c>
      <c r="D206" s="2" t="s">
        <v>42</v>
      </c>
      <c r="E206" s="2" t="s">
        <v>28</v>
      </c>
      <c r="F206" s="2" t="s">
        <v>48</v>
      </c>
      <c r="G206" s="2" t="s">
        <v>21</v>
      </c>
    </row>
    <row r="207" spans="1:7" ht="15" customHeight="1">
      <c r="A207" s="2" t="s">
        <v>348</v>
      </c>
      <c r="B207" s="20">
        <v>45698</v>
      </c>
      <c r="C207" s="2" t="s">
        <v>342</v>
      </c>
      <c r="D207" s="2" t="s">
        <v>9</v>
      </c>
      <c r="E207" s="2" t="s">
        <v>53</v>
      </c>
      <c r="F207" s="2" t="s">
        <v>32</v>
      </c>
      <c r="G207" s="2" t="s">
        <v>11</v>
      </c>
    </row>
    <row r="208" spans="1:7" ht="15" customHeight="1">
      <c r="A208" s="2" t="s">
        <v>415</v>
      </c>
      <c r="B208" s="20">
        <v>45698</v>
      </c>
      <c r="C208" s="2" t="s">
        <v>408</v>
      </c>
      <c r="D208" s="2" t="s">
        <v>26</v>
      </c>
      <c r="E208" s="2"/>
      <c r="F208" s="2"/>
      <c r="G208" s="2" t="s">
        <v>11</v>
      </c>
    </row>
    <row r="209" spans="1:7" ht="15" customHeight="1">
      <c r="A209" s="2" t="s">
        <v>446</v>
      </c>
      <c r="B209" s="20">
        <v>45698</v>
      </c>
      <c r="C209" s="2" t="s">
        <v>441</v>
      </c>
      <c r="D209" s="2" t="s">
        <v>42</v>
      </c>
      <c r="E209" s="2" t="s">
        <v>34</v>
      </c>
      <c r="F209" s="2" t="s">
        <v>68</v>
      </c>
      <c r="G209" s="2" t="s">
        <v>21</v>
      </c>
    </row>
    <row r="210" spans="1:7" ht="15" customHeight="1">
      <c r="A210" s="2" t="s">
        <v>458</v>
      </c>
      <c r="B210" s="20">
        <v>45698</v>
      </c>
      <c r="C210" s="2" t="s">
        <v>452</v>
      </c>
      <c r="D210" s="2" t="s">
        <v>26</v>
      </c>
      <c r="E210" s="2"/>
      <c r="F210" s="2"/>
      <c r="G210" s="2" t="s">
        <v>11</v>
      </c>
    </row>
    <row r="211" spans="1:7" ht="15" customHeight="1">
      <c r="A211" s="2" t="s">
        <v>605</v>
      </c>
      <c r="B211" s="20">
        <v>45698</v>
      </c>
      <c r="C211" s="2" t="s">
        <v>598</v>
      </c>
      <c r="D211" s="2" t="s">
        <v>42</v>
      </c>
      <c r="E211" s="2" t="s">
        <v>50</v>
      </c>
      <c r="F211" s="2" t="s">
        <v>55</v>
      </c>
      <c r="G211" s="2" t="s">
        <v>21</v>
      </c>
    </row>
    <row r="212" spans="1:7" ht="15" customHeight="1">
      <c r="A212" s="2" t="s">
        <v>93</v>
      </c>
      <c r="B212" s="20">
        <v>45699</v>
      </c>
      <c r="C212" s="2" t="s">
        <v>83</v>
      </c>
      <c r="D212" s="2" t="s">
        <v>9</v>
      </c>
      <c r="E212" s="2" t="s">
        <v>89</v>
      </c>
      <c r="F212" s="2" t="s">
        <v>17</v>
      </c>
      <c r="G212" s="2" t="s">
        <v>21</v>
      </c>
    </row>
    <row r="213" spans="1:7" ht="15" customHeight="1">
      <c r="A213" s="2" t="s">
        <v>170</v>
      </c>
      <c r="B213" s="20">
        <v>45699</v>
      </c>
      <c r="C213" s="2" t="s">
        <v>171</v>
      </c>
      <c r="D213" s="2" t="s">
        <v>9</v>
      </c>
      <c r="E213" s="2" t="s">
        <v>53</v>
      </c>
      <c r="F213" s="2" t="s">
        <v>14</v>
      </c>
      <c r="G213" s="2" t="s">
        <v>11</v>
      </c>
    </row>
    <row r="214" spans="1:7" ht="15" customHeight="1">
      <c r="A214" s="2" t="s">
        <v>189</v>
      </c>
      <c r="B214" s="20">
        <v>45699</v>
      </c>
      <c r="C214" s="2" t="s">
        <v>182</v>
      </c>
      <c r="D214" s="2" t="s">
        <v>26</v>
      </c>
      <c r="E214" s="2"/>
      <c r="F214" s="2"/>
      <c r="G214" s="2" t="s">
        <v>11</v>
      </c>
    </row>
    <row r="215" spans="1:7" ht="15" customHeight="1">
      <c r="A215" s="2" t="s">
        <v>258</v>
      </c>
      <c r="B215" s="20">
        <v>45699</v>
      </c>
      <c r="C215" s="2" t="s">
        <v>252</v>
      </c>
      <c r="D215" s="2" t="s">
        <v>9</v>
      </c>
      <c r="E215" s="2" t="s">
        <v>100</v>
      </c>
      <c r="F215" s="2" t="s">
        <v>211</v>
      </c>
      <c r="G215" s="2" t="s">
        <v>11</v>
      </c>
    </row>
    <row r="216" spans="1:7" ht="15" customHeight="1">
      <c r="A216" s="2" t="s">
        <v>311</v>
      </c>
      <c r="B216" s="20">
        <v>45699</v>
      </c>
      <c r="C216" s="2" t="s">
        <v>309</v>
      </c>
      <c r="D216" s="2" t="s">
        <v>9</v>
      </c>
      <c r="E216" s="2" t="s">
        <v>108</v>
      </c>
      <c r="F216" s="2" t="s">
        <v>113</v>
      </c>
      <c r="G216" s="2" t="s">
        <v>11</v>
      </c>
    </row>
    <row r="217" spans="1:7" ht="15" customHeight="1">
      <c r="A217" s="2" t="s">
        <v>143</v>
      </c>
      <c r="B217" s="20">
        <v>45700</v>
      </c>
      <c r="C217" s="2" t="s">
        <v>144</v>
      </c>
      <c r="D217" s="2" t="s">
        <v>26</v>
      </c>
      <c r="E217" s="2"/>
      <c r="F217" s="2"/>
      <c r="G217" s="2" t="s">
        <v>11</v>
      </c>
    </row>
    <row r="218" spans="1:7" ht="15" customHeight="1">
      <c r="A218" s="2" t="s">
        <v>229</v>
      </c>
      <c r="B218" s="20">
        <v>45700</v>
      </c>
      <c r="C218" s="2" t="s">
        <v>230</v>
      </c>
      <c r="D218" s="2" t="s">
        <v>9</v>
      </c>
      <c r="E218" s="2" t="s">
        <v>50</v>
      </c>
      <c r="F218" s="2" t="s">
        <v>24</v>
      </c>
      <c r="G218" s="2" t="s">
        <v>21</v>
      </c>
    </row>
    <row r="219" spans="1:7" ht="15" customHeight="1">
      <c r="A219" s="2" t="s">
        <v>290</v>
      </c>
      <c r="B219" s="20">
        <v>45700</v>
      </c>
      <c r="C219" s="2" t="s">
        <v>286</v>
      </c>
      <c r="D219" s="2" t="s">
        <v>42</v>
      </c>
      <c r="E219" s="2" t="s">
        <v>31</v>
      </c>
      <c r="F219" s="2" t="s">
        <v>35</v>
      </c>
      <c r="G219" s="2" t="s">
        <v>21</v>
      </c>
    </row>
    <row r="220" spans="1:7" ht="15" customHeight="1">
      <c r="A220" s="2" t="s">
        <v>505</v>
      </c>
      <c r="B220" s="20">
        <v>45700</v>
      </c>
      <c r="C220" s="2" t="s">
        <v>498</v>
      </c>
      <c r="D220" s="2" t="s">
        <v>9</v>
      </c>
      <c r="E220" s="2" t="s">
        <v>59</v>
      </c>
      <c r="F220" s="2" t="s">
        <v>66</v>
      </c>
      <c r="G220" s="2" t="s">
        <v>21</v>
      </c>
    </row>
    <row r="221" spans="1:7" ht="15" customHeight="1">
      <c r="A221" s="2" t="s">
        <v>514</v>
      </c>
      <c r="B221" s="20">
        <v>45700</v>
      </c>
      <c r="C221" s="2" t="s">
        <v>510</v>
      </c>
      <c r="D221" s="2" t="s">
        <v>9</v>
      </c>
      <c r="E221" s="2" t="s">
        <v>89</v>
      </c>
      <c r="F221" s="2" t="s">
        <v>51</v>
      </c>
      <c r="G221" s="2" t="s">
        <v>21</v>
      </c>
    </row>
    <row r="222" spans="1:7" ht="15" customHeight="1">
      <c r="A222" s="2" t="s">
        <v>603</v>
      </c>
      <c r="B222" s="20">
        <v>45700</v>
      </c>
      <c r="C222" s="2" t="s">
        <v>598</v>
      </c>
      <c r="D222" s="2" t="s">
        <v>9</v>
      </c>
      <c r="E222" s="2" t="s">
        <v>31</v>
      </c>
      <c r="F222" s="2" t="s">
        <v>66</v>
      </c>
      <c r="G222" s="2" t="s">
        <v>21</v>
      </c>
    </row>
    <row r="223" spans="1:7" ht="15" customHeight="1">
      <c r="A223" s="2" t="s">
        <v>62</v>
      </c>
      <c r="B223" s="21">
        <v>45701</v>
      </c>
      <c r="C223" s="2" t="s">
        <v>64</v>
      </c>
      <c r="D223" s="2" t="s">
        <v>26</v>
      </c>
      <c r="E223" s="2"/>
      <c r="F223" s="2"/>
      <c r="G223" s="2" t="s">
        <v>11</v>
      </c>
    </row>
    <row r="224" spans="1:7" ht="15" customHeight="1">
      <c r="A224" s="2" t="s">
        <v>138</v>
      </c>
      <c r="B224" s="20">
        <v>45701</v>
      </c>
      <c r="C224" s="2" t="s">
        <v>132</v>
      </c>
      <c r="D224" s="2" t="s">
        <v>9</v>
      </c>
      <c r="E224" s="2" t="s">
        <v>23</v>
      </c>
      <c r="F224" s="2" t="s">
        <v>51</v>
      </c>
      <c r="G224" s="2" t="s">
        <v>11</v>
      </c>
    </row>
    <row r="225" spans="1:7" ht="15" customHeight="1">
      <c r="A225" s="2" t="s">
        <v>203</v>
      </c>
      <c r="B225" s="20">
        <v>45701</v>
      </c>
      <c r="C225" s="2" t="s">
        <v>194</v>
      </c>
      <c r="D225" s="2" t="s">
        <v>9</v>
      </c>
      <c r="E225" s="2" t="s">
        <v>115</v>
      </c>
      <c r="F225" s="2" t="s">
        <v>113</v>
      </c>
      <c r="G225" s="2" t="s">
        <v>21</v>
      </c>
    </row>
    <row r="226" spans="1:7" ht="15" customHeight="1">
      <c r="A226" s="2" t="s">
        <v>213</v>
      </c>
      <c r="B226" s="20">
        <v>45701</v>
      </c>
      <c r="C226" s="2" t="s">
        <v>206</v>
      </c>
      <c r="D226" s="2" t="s">
        <v>42</v>
      </c>
      <c r="E226" s="2" t="s">
        <v>13</v>
      </c>
      <c r="F226" s="2" t="s">
        <v>127</v>
      </c>
      <c r="G226" s="2" t="s">
        <v>11</v>
      </c>
    </row>
    <row r="227" spans="1:7" ht="15" customHeight="1">
      <c r="A227" s="2" t="s">
        <v>220</v>
      </c>
      <c r="B227" s="20">
        <v>45701</v>
      </c>
      <c r="C227" s="2" t="s">
        <v>218</v>
      </c>
      <c r="D227" s="2" t="s">
        <v>9</v>
      </c>
      <c r="E227" s="2" t="s">
        <v>89</v>
      </c>
      <c r="F227" s="2" t="s">
        <v>90</v>
      </c>
      <c r="G227" s="2" t="s">
        <v>21</v>
      </c>
    </row>
    <row r="228" spans="1:7" ht="15" customHeight="1">
      <c r="A228" s="2" t="s">
        <v>355</v>
      </c>
      <c r="B228" s="20">
        <v>45701</v>
      </c>
      <c r="C228" s="2" t="s">
        <v>353</v>
      </c>
      <c r="D228" s="2" t="s">
        <v>42</v>
      </c>
      <c r="E228" s="2" t="s">
        <v>105</v>
      </c>
      <c r="F228" s="2" t="s">
        <v>32</v>
      </c>
      <c r="G228" s="2" t="s">
        <v>21</v>
      </c>
    </row>
    <row r="229" spans="1:7" ht="15" customHeight="1">
      <c r="A229" s="2" t="s">
        <v>367</v>
      </c>
      <c r="B229" s="20">
        <v>45701</v>
      </c>
      <c r="C229" s="2" t="s">
        <v>364</v>
      </c>
      <c r="D229" s="2" t="s">
        <v>9</v>
      </c>
      <c r="E229" s="2" t="s">
        <v>16</v>
      </c>
      <c r="F229" s="2" t="s">
        <v>72</v>
      </c>
      <c r="G229" s="2" t="s">
        <v>11</v>
      </c>
    </row>
    <row r="230" spans="1:7" ht="15" customHeight="1">
      <c r="A230" s="2" t="s">
        <v>421</v>
      </c>
      <c r="B230" s="20">
        <v>45701</v>
      </c>
      <c r="C230" s="2" t="s">
        <v>419</v>
      </c>
      <c r="D230" s="2" t="s">
        <v>42</v>
      </c>
      <c r="E230" s="2" t="s">
        <v>105</v>
      </c>
      <c r="F230" s="2" t="s">
        <v>29</v>
      </c>
      <c r="G230" s="2" t="s">
        <v>21</v>
      </c>
    </row>
    <row r="231" spans="1:7" ht="15" customHeight="1">
      <c r="A231" s="2" t="s">
        <v>445</v>
      </c>
      <c r="B231" s="20">
        <v>45701</v>
      </c>
      <c r="C231" s="2" t="s">
        <v>441</v>
      </c>
      <c r="D231" s="2" t="s">
        <v>9</v>
      </c>
      <c r="E231" s="2" t="s">
        <v>158</v>
      </c>
      <c r="F231" s="2" t="s">
        <v>75</v>
      </c>
      <c r="G231" s="2" t="s">
        <v>11</v>
      </c>
    </row>
    <row r="232" spans="1:7" ht="15" customHeight="1">
      <c r="A232" s="2" t="s">
        <v>461</v>
      </c>
      <c r="B232" s="20">
        <v>45701</v>
      </c>
      <c r="C232" s="2" t="s">
        <v>452</v>
      </c>
      <c r="D232" s="2" t="s">
        <v>9</v>
      </c>
      <c r="E232" s="2" t="s">
        <v>61</v>
      </c>
      <c r="F232" s="2" t="s">
        <v>191</v>
      </c>
      <c r="G232" s="2" t="s">
        <v>21</v>
      </c>
    </row>
    <row r="233" spans="1:7" ht="15" customHeight="1">
      <c r="A233" s="2" t="s">
        <v>491</v>
      </c>
      <c r="B233" s="20">
        <v>45701</v>
      </c>
      <c r="C233" s="2" t="s">
        <v>487</v>
      </c>
      <c r="D233" s="2" t="s">
        <v>26</v>
      </c>
      <c r="E233" s="2"/>
      <c r="F233" s="2"/>
      <c r="G233" s="2" t="s">
        <v>11</v>
      </c>
    </row>
    <row r="234" spans="1:7" ht="15" customHeight="1">
      <c r="A234" s="2" t="s">
        <v>547</v>
      </c>
      <c r="B234" s="20">
        <v>45701</v>
      </c>
      <c r="C234" s="2" t="s">
        <v>541</v>
      </c>
      <c r="D234" s="2" t="s">
        <v>42</v>
      </c>
      <c r="E234" s="2" t="s">
        <v>149</v>
      </c>
      <c r="F234" s="2" t="s">
        <v>96</v>
      </c>
      <c r="G234" s="2" t="s">
        <v>21</v>
      </c>
    </row>
    <row r="235" spans="1:7" ht="15" customHeight="1">
      <c r="A235" s="2" t="s">
        <v>561</v>
      </c>
      <c r="B235" s="20">
        <v>45701</v>
      </c>
      <c r="C235" s="2" t="s">
        <v>562</v>
      </c>
      <c r="D235" s="2" t="s">
        <v>26</v>
      </c>
      <c r="E235" s="2"/>
      <c r="F235" s="2"/>
      <c r="G235" s="2" t="s">
        <v>11</v>
      </c>
    </row>
    <row r="236" spans="1:7" ht="15" customHeight="1">
      <c r="A236" s="2" t="s">
        <v>196</v>
      </c>
      <c r="B236" s="20">
        <v>45702</v>
      </c>
      <c r="C236" s="2" t="s">
        <v>194</v>
      </c>
      <c r="D236" s="2" t="s">
        <v>42</v>
      </c>
      <c r="E236" s="2" t="s">
        <v>23</v>
      </c>
      <c r="F236" s="2" t="s">
        <v>66</v>
      </c>
      <c r="G236" s="2" t="s">
        <v>11</v>
      </c>
    </row>
    <row r="237" spans="1:7" ht="15" customHeight="1">
      <c r="A237" s="2" t="s">
        <v>303</v>
      </c>
      <c r="B237" s="20">
        <v>45702</v>
      </c>
      <c r="C237" s="2" t="s">
        <v>298</v>
      </c>
      <c r="D237" s="2" t="s">
        <v>42</v>
      </c>
      <c r="E237" s="2" t="s">
        <v>19</v>
      </c>
      <c r="F237" s="2" t="s">
        <v>14</v>
      </c>
      <c r="G237" s="2" t="s">
        <v>21</v>
      </c>
    </row>
    <row r="238" spans="1:7" ht="15" customHeight="1">
      <c r="A238" s="2" t="s">
        <v>343</v>
      </c>
      <c r="B238" s="20">
        <v>45702</v>
      </c>
      <c r="C238" s="2" t="s">
        <v>342</v>
      </c>
      <c r="D238" s="2" t="s">
        <v>26</v>
      </c>
      <c r="E238" s="2"/>
      <c r="F238" s="2"/>
      <c r="G238" s="2" t="s">
        <v>11</v>
      </c>
    </row>
    <row r="239" spans="1:7" ht="15" customHeight="1">
      <c r="A239" s="2" t="s">
        <v>404</v>
      </c>
      <c r="B239" s="20">
        <v>45702</v>
      </c>
      <c r="C239" s="2" t="s">
        <v>397</v>
      </c>
      <c r="D239" s="2" t="s">
        <v>9</v>
      </c>
      <c r="E239" s="2" t="s">
        <v>61</v>
      </c>
      <c r="F239" s="2" t="s">
        <v>122</v>
      </c>
      <c r="G239" s="2" t="s">
        <v>21</v>
      </c>
    </row>
    <row r="240" spans="1:7" ht="15" customHeight="1">
      <c r="A240" s="2" t="s">
        <v>519</v>
      </c>
      <c r="B240" s="20">
        <v>45702</v>
      </c>
      <c r="C240" s="2" t="s">
        <v>510</v>
      </c>
      <c r="D240" s="2" t="s">
        <v>26</v>
      </c>
      <c r="E240" s="2"/>
      <c r="F240" s="2"/>
      <c r="G240" s="2" t="s">
        <v>11</v>
      </c>
    </row>
    <row r="241" spans="1:7" ht="15" customHeight="1">
      <c r="A241" s="2" t="s">
        <v>65</v>
      </c>
      <c r="B241" s="20">
        <v>45703</v>
      </c>
      <c r="C241" s="2" t="s">
        <v>64</v>
      </c>
      <c r="D241" s="2" t="s">
        <v>9</v>
      </c>
      <c r="E241" s="2" t="s">
        <v>43</v>
      </c>
      <c r="F241" s="2" t="s">
        <v>66</v>
      </c>
      <c r="G241" s="2" t="s">
        <v>21</v>
      </c>
    </row>
    <row r="242" spans="1:7" ht="15" customHeight="1">
      <c r="A242" s="2" t="s">
        <v>134</v>
      </c>
      <c r="B242" s="20">
        <v>45703</v>
      </c>
      <c r="C242" s="2" t="s">
        <v>132</v>
      </c>
      <c r="D242" s="2" t="s">
        <v>42</v>
      </c>
      <c r="E242" s="2" t="s">
        <v>28</v>
      </c>
      <c r="F242" s="2" t="s">
        <v>24</v>
      </c>
      <c r="G242" s="2" t="s">
        <v>21</v>
      </c>
    </row>
    <row r="243" spans="1:7" ht="15" customHeight="1">
      <c r="A243" s="2" t="s">
        <v>308</v>
      </c>
      <c r="B243" s="20">
        <v>45703</v>
      </c>
      <c r="C243" s="2" t="s">
        <v>309</v>
      </c>
      <c r="D243" s="2" t="s">
        <v>26</v>
      </c>
      <c r="E243" s="2"/>
      <c r="F243" s="2"/>
      <c r="G243" s="2" t="s">
        <v>11</v>
      </c>
    </row>
    <row r="244" spans="1:7" ht="15" customHeight="1">
      <c r="A244" s="2" t="s">
        <v>323</v>
      </c>
      <c r="B244" s="20">
        <v>45703</v>
      </c>
      <c r="C244" s="2" t="s">
        <v>320</v>
      </c>
      <c r="D244" s="2" t="s">
        <v>9</v>
      </c>
      <c r="E244" s="2" t="s">
        <v>23</v>
      </c>
      <c r="F244" s="2" t="s">
        <v>10</v>
      </c>
      <c r="G244" s="2" t="s">
        <v>11</v>
      </c>
    </row>
    <row r="245" spans="1:7" ht="15" customHeight="1">
      <c r="A245" s="2" t="s">
        <v>382</v>
      </c>
      <c r="B245" s="20">
        <v>45703</v>
      </c>
      <c r="C245" s="2" t="s">
        <v>375</v>
      </c>
      <c r="D245" s="2" t="s">
        <v>9</v>
      </c>
      <c r="E245" s="2" t="s">
        <v>100</v>
      </c>
      <c r="F245" s="2" t="s">
        <v>168</v>
      </c>
      <c r="G245" s="2" t="s">
        <v>11</v>
      </c>
    </row>
    <row r="246" spans="1:7" ht="15" customHeight="1">
      <c r="A246" s="2" t="s">
        <v>416</v>
      </c>
      <c r="B246" s="20">
        <v>45703</v>
      </c>
      <c r="C246" s="2" t="s">
        <v>408</v>
      </c>
      <c r="D246" s="2" t="s">
        <v>9</v>
      </c>
      <c r="E246" s="2" t="s">
        <v>28</v>
      </c>
      <c r="F246" s="2" t="s">
        <v>122</v>
      </c>
      <c r="G246" s="2" t="s">
        <v>21</v>
      </c>
    </row>
    <row r="247" spans="1:7" ht="15" customHeight="1">
      <c r="A247" s="2" t="s">
        <v>581</v>
      </c>
      <c r="B247" s="20">
        <v>45703</v>
      </c>
      <c r="C247" s="2" t="s">
        <v>574</v>
      </c>
      <c r="D247" s="2" t="s">
        <v>42</v>
      </c>
      <c r="E247" s="2" t="s">
        <v>226</v>
      </c>
      <c r="F247" s="2" t="s">
        <v>113</v>
      </c>
      <c r="G247" s="2" t="s">
        <v>11</v>
      </c>
    </row>
    <row r="248" spans="1:7" ht="15" customHeight="1">
      <c r="A248" s="2" t="s">
        <v>594</v>
      </c>
      <c r="B248" s="20">
        <v>45703</v>
      </c>
      <c r="C248" s="2" t="s">
        <v>586</v>
      </c>
      <c r="D248" s="2" t="s">
        <v>42</v>
      </c>
      <c r="E248" s="2" t="s">
        <v>115</v>
      </c>
      <c r="F248" s="2" t="s">
        <v>154</v>
      </c>
      <c r="G248" s="2" t="s">
        <v>21</v>
      </c>
    </row>
    <row r="249" spans="1:7" ht="15" customHeight="1">
      <c r="A249" s="2" t="s">
        <v>45</v>
      </c>
      <c r="B249" s="20">
        <v>45704</v>
      </c>
      <c r="C249" s="2" t="s">
        <v>39</v>
      </c>
      <c r="D249" s="2" t="s">
        <v>42</v>
      </c>
      <c r="E249" s="2" t="s">
        <v>40</v>
      </c>
      <c r="F249" s="2" t="s">
        <v>44</v>
      </c>
      <c r="G249" s="2" t="s">
        <v>11</v>
      </c>
    </row>
    <row r="250" spans="1:7" ht="15" customHeight="1">
      <c r="A250" s="2" t="s">
        <v>223</v>
      </c>
      <c r="B250" s="20">
        <v>45704</v>
      </c>
      <c r="C250" s="2" t="s">
        <v>218</v>
      </c>
      <c r="D250" s="2" t="s">
        <v>42</v>
      </c>
      <c r="E250" s="2" t="s">
        <v>28</v>
      </c>
      <c r="F250" s="2" t="s">
        <v>165</v>
      </c>
      <c r="G250" s="2" t="s">
        <v>21</v>
      </c>
    </row>
    <row r="251" spans="1:7" ht="15" customHeight="1">
      <c r="A251" s="2" t="s">
        <v>407</v>
      </c>
      <c r="B251" s="20">
        <v>45704</v>
      </c>
      <c r="C251" s="2" t="s">
        <v>408</v>
      </c>
      <c r="D251" s="2" t="s">
        <v>9</v>
      </c>
      <c r="E251" s="2" t="s">
        <v>115</v>
      </c>
      <c r="F251" s="2" t="s">
        <v>154</v>
      </c>
      <c r="G251" s="2" t="s">
        <v>21</v>
      </c>
    </row>
    <row r="252" spans="1:7" ht="15" customHeight="1">
      <c r="A252" s="2" t="s">
        <v>507</v>
      </c>
      <c r="B252" s="20">
        <v>45704</v>
      </c>
      <c r="C252" s="2" t="s">
        <v>498</v>
      </c>
      <c r="D252" s="2" t="s">
        <v>9</v>
      </c>
      <c r="E252" s="2" t="s">
        <v>31</v>
      </c>
      <c r="F252" s="2" t="s">
        <v>292</v>
      </c>
      <c r="G252" s="2" t="s">
        <v>21</v>
      </c>
    </row>
    <row r="253" spans="1:7" ht="15" customHeight="1">
      <c r="A253" s="2" t="s">
        <v>557</v>
      </c>
      <c r="B253" s="20">
        <v>45704</v>
      </c>
      <c r="C253" s="2" t="s">
        <v>551</v>
      </c>
      <c r="D253" s="2" t="s">
        <v>9</v>
      </c>
      <c r="E253" s="2" t="s">
        <v>40</v>
      </c>
      <c r="F253" s="2" t="s">
        <v>261</v>
      </c>
      <c r="G253" s="2" t="s">
        <v>11</v>
      </c>
    </row>
    <row r="254" spans="1:7" ht="15" customHeight="1">
      <c r="A254" s="2" t="s">
        <v>225</v>
      </c>
      <c r="B254" s="20">
        <v>45705</v>
      </c>
      <c r="C254" s="2" t="s">
        <v>218</v>
      </c>
      <c r="D254" s="2" t="s">
        <v>42</v>
      </c>
      <c r="E254" s="2" t="s">
        <v>226</v>
      </c>
      <c r="F254" s="2" t="s">
        <v>103</v>
      </c>
      <c r="G254" s="2" t="s">
        <v>11</v>
      </c>
    </row>
    <row r="255" spans="1:7" ht="15" customHeight="1">
      <c r="A255" s="2" t="s">
        <v>301</v>
      </c>
      <c r="B255" s="20">
        <v>45705</v>
      </c>
      <c r="C255" s="2" t="s">
        <v>298</v>
      </c>
      <c r="D255" s="2" t="s">
        <v>42</v>
      </c>
      <c r="E255" s="2" t="s">
        <v>100</v>
      </c>
      <c r="F255" s="2" t="s">
        <v>195</v>
      </c>
      <c r="G255" s="2" t="s">
        <v>11</v>
      </c>
    </row>
    <row r="256" spans="1:7" ht="15" customHeight="1">
      <c r="A256" s="2" t="s">
        <v>399</v>
      </c>
      <c r="B256" s="20">
        <v>45705</v>
      </c>
      <c r="C256" s="2" t="s">
        <v>397</v>
      </c>
      <c r="D256" s="2" t="s">
        <v>26</v>
      </c>
      <c r="E256" s="2"/>
      <c r="F256" s="2"/>
      <c r="G256" s="2" t="s">
        <v>11</v>
      </c>
    </row>
    <row r="257" spans="1:7" ht="15" customHeight="1">
      <c r="A257" s="2" t="s">
        <v>467</v>
      </c>
      <c r="B257" s="20">
        <v>45705</v>
      </c>
      <c r="C257" s="2" t="s">
        <v>464</v>
      </c>
      <c r="D257" s="2" t="s">
        <v>42</v>
      </c>
      <c r="E257" s="2" t="s">
        <v>50</v>
      </c>
      <c r="F257" s="2" t="s">
        <v>78</v>
      </c>
      <c r="G257" s="2" t="s">
        <v>21</v>
      </c>
    </row>
    <row r="258" spans="1:7" ht="15" customHeight="1">
      <c r="A258" s="2" t="s">
        <v>520</v>
      </c>
      <c r="B258" s="20">
        <v>45705</v>
      </c>
      <c r="C258" s="2" t="s">
        <v>521</v>
      </c>
      <c r="D258" s="2" t="s">
        <v>42</v>
      </c>
      <c r="E258" s="2" t="s">
        <v>105</v>
      </c>
      <c r="F258" s="2" t="s">
        <v>113</v>
      </c>
      <c r="G258" s="2" t="s">
        <v>21</v>
      </c>
    </row>
    <row r="259" spans="1:7" ht="15" customHeight="1">
      <c r="A259" s="2" t="s">
        <v>555</v>
      </c>
      <c r="B259" s="20">
        <v>45705</v>
      </c>
      <c r="C259" s="2" t="s">
        <v>551</v>
      </c>
      <c r="D259" s="2" t="s">
        <v>26</v>
      </c>
      <c r="E259" s="2"/>
      <c r="F259" s="2"/>
      <c r="G259" s="2" t="s">
        <v>11</v>
      </c>
    </row>
    <row r="260" spans="1:7" ht="15" customHeight="1">
      <c r="A260" s="2" t="s">
        <v>572</v>
      </c>
      <c r="B260" s="20">
        <v>45705</v>
      </c>
      <c r="C260" s="2" t="s">
        <v>562</v>
      </c>
      <c r="D260" s="2" t="s">
        <v>9</v>
      </c>
      <c r="E260" s="2" t="s">
        <v>19</v>
      </c>
      <c r="F260" s="2" t="s">
        <v>101</v>
      </c>
      <c r="G260" s="2" t="s">
        <v>21</v>
      </c>
    </row>
    <row r="261" spans="1:7" ht="15" customHeight="1">
      <c r="A261" s="2" t="s">
        <v>576</v>
      </c>
      <c r="B261" s="20">
        <v>45705</v>
      </c>
      <c r="C261" s="2" t="s">
        <v>574</v>
      </c>
      <c r="D261" s="2" t="s">
        <v>9</v>
      </c>
      <c r="E261" s="2" t="s">
        <v>89</v>
      </c>
      <c r="F261" s="2" t="s">
        <v>154</v>
      </c>
      <c r="G261" s="2" t="s">
        <v>21</v>
      </c>
    </row>
    <row r="262" spans="1:7" ht="15" customHeight="1">
      <c r="A262" s="2" t="s">
        <v>274</v>
      </c>
      <c r="B262" s="20">
        <v>45706</v>
      </c>
      <c r="C262" s="2" t="s">
        <v>275</v>
      </c>
      <c r="D262" s="2" t="s">
        <v>26</v>
      </c>
      <c r="E262" s="2"/>
      <c r="F262" s="2"/>
      <c r="G262" s="2" t="s">
        <v>11</v>
      </c>
    </row>
    <row r="263" spans="1:7" ht="15" customHeight="1">
      <c r="A263" s="2" t="s">
        <v>360</v>
      </c>
      <c r="B263" s="20">
        <v>45706</v>
      </c>
      <c r="C263" s="2" t="s">
        <v>353</v>
      </c>
      <c r="D263" s="2" t="s">
        <v>9</v>
      </c>
      <c r="E263" s="2" t="s">
        <v>100</v>
      </c>
      <c r="F263" s="2" t="s">
        <v>96</v>
      </c>
      <c r="G263" s="2" t="s">
        <v>11</v>
      </c>
    </row>
    <row r="264" spans="1:7" ht="15" customHeight="1">
      <c r="A264" s="2" t="s">
        <v>379</v>
      </c>
      <c r="B264" s="20">
        <v>45706</v>
      </c>
      <c r="C264" s="2" t="s">
        <v>375</v>
      </c>
      <c r="D264" s="2" t="s">
        <v>9</v>
      </c>
      <c r="E264" s="2" t="s">
        <v>57</v>
      </c>
      <c r="F264" s="2" t="s">
        <v>127</v>
      </c>
      <c r="G264" s="2" t="s">
        <v>11</v>
      </c>
    </row>
    <row r="265" spans="1:7" ht="15" customHeight="1">
      <c r="A265" s="2" t="s">
        <v>431</v>
      </c>
      <c r="B265" s="20">
        <v>45706</v>
      </c>
      <c r="C265" s="2" t="s">
        <v>430</v>
      </c>
      <c r="D265" s="2" t="s">
        <v>9</v>
      </c>
      <c r="E265" s="2" t="s">
        <v>61</v>
      </c>
      <c r="F265" s="2" t="s">
        <v>66</v>
      </c>
      <c r="G265" s="2" t="s">
        <v>21</v>
      </c>
    </row>
    <row r="266" spans="1:7" ht="15" customHeight="1">
      <c r="A266" s="2" t="s">
        <v>462</v>
      </c>
      <c r="B266" s="20">
        <v>45706</v>
      </c>
      <c r="C266" s="2" t="s">
        <v>452</v>
      </c>
      <c r="D266" s="2" t="s">
        <v>26</v>
      </c>
      <c r="E266" s="2"/>
      <c r="F266" s="2"/>
      <c r="G266" s="2" t="s">
        <v>11</v>
      </c>
    </row>
    <row r="267" spans="1:7" ht="15" customHeight="1">
      <c r="A267" s="2" t="s">
        <v>481</v>
      </c>
      <c r="B267" s="20">
        <v>45706</v>
      </c>
      <c r="C267" s="2" t="s">
        <v>475</v>
      </c>
      <c r="D267" s="2" t="s">
        <v>26</v>
      </c>
      <c r="E267" s="2"/>
      <c r="F267" s="2"/>
      <c r="G267" s="2" t="s">
        <v>11</v>
      </c>
    </row>
    <row r="268" spans="1:7" ht="15" customHeight="1">
      <c r="A268" s="2" t="s">
        <v>583</v>
      </c>
      <c r="B268" s="20">
        <v>45706</v>
      </c>
      <c r="C268" s="2" t="s">
        <v>574</v>
      </c>
      <c r="D268" s="2" t="s">
        <v>26</v>
      </c>
      <c r="E268" s="2"/>
      <c r="F268" s="2"/>
      <c r="G268" s="2" t="s">
        <v>11</v>
      </c>
    </row>
    <row r="269" spans="1:7" ht="15" customHeight="1">
      <c r="A269" s="2" t="s">
        <v>593</v>
      </c>
      <c r="B269" s="20">
        <v>45706</v>
      </c>
      <c r="C269" s="2" t="s">
        <v>586</v>
      </c>
      <c r="D269" s="2" t="s">
        <v>9</v>
      </c>
      <c r="E269" s="2" t="s">
        <v>61</v>
      </c>
      <c r="F269" s="2" t="s">
        <v>113</v>
      </c>
      <c r="G269" s="2" t="s">
        <v>21</v>
      </c>
    </row>
    <row r="270" spans="1:7" ht="15" customHeight="1">
      <c r="A270" s="2" t="s">
        <v>601</v>
      </c>
      <c r="B270" s="20">
        <v>45706</v>
      </c>
      <c r="C270" s="2" t="s">
        <v>598</v>
      </c>
      <c r="D270" s="2" t="s">
        <v>42</v>
      </c>
      <c r="E270" s="2" t="s">
        <v>59</v>
      </c>
      <c r="F270" s="2" t="s">
        <v>113</v>
      </c>
      <c r="G270" s="2" t="s">
        <v>21</v>
      </c>
    </row>
    <row r="271" spans="1:7" ht="15" customHeight="1">
      <c r="A271" s="2" t="s">
        <v>618</v>
      </c>
      <c r="B271" s="20">
        <v>45706</v>
      </c>
      <c r="C271" s="2" t="s">
        <v>609</v>
      </c>
      <c r="D271" s="2" t="s">
        <v>42</v>
      </c>
      <c r="E271" s="2" t="s">
        <v>40</v>
      </c>
      <c r="F271" s="2" t="s">
        <v>191</v>
      </c>
      <c r="G271" s="2" t="s">
        <v>11</v>
      </c>
    </row>
    <row r="272" spans="1:7" ht="15" customHeight="1">
      <c r="A272" s="2" t="s">
        <v>293</v>
      </c>
      <c r="B272" s="20">
        <v>45707</v>
      </c>
      <c r="C272" s="2" t="s">
        <v>286</v>
      </c>
      <c r="D272" s="2" t="s">
        <v>26</v>
      </c>
      <c r="E272" s="2"/>
      <c r="F272" s="2"/>
      <c r="G272" s="2" t="s">
        <v>11</v>
      </c>
    </row>
    <row r="273" spans="1:7" ht="15" customHeight="1">
      <c r="A273" s="2" t="s">
        <v>484</v>
      </c>
      <c r="B273" s="20">
        <v>45707</v>
      </c>
      <c r="C273" s="2" t="s">
        <v>475</v>
      </c>
      <c r="D273" s="2" t="s">
        <v>42</v>
      </c>
      <c r="E273" s="2" t="s">
        <v>19</v>
      </c>
      <c r="F273" s="2" t="s">
        <v>92</v>
      </c>
      <c r="G273" s="2" t="s">
        <v>21</v>
      </c>
    </row>
    <row r="274" spans="1:7" ht="15" customHeight="1">
      <c r="A274" s="2" t="s">
        <v>584</v>
      </c>
      <c r="B274" s="20">
        <v>45707</v>
      </c>
      <c r="C274" s="2" t="s">
        <v>574</v>
      </c>
      <c r="D274" s="2" t="s">
        <v>42</v>
      </c>
      <c r="E274" s="2" t="s">
        <v>105</v>
      </c>
      <c r="F274" s="2" t="s">
        <v>72</v>
      </c>
      <c r="G274" s="2" t="s">
        <v>21</v>
      </c>
    </row>
    <row r="275" spans="1:7" ht="15" customHeight="1">
      <c r="A275" s="2" t="s">
        <v>135</v>
      </c>
      <c r="B275" s="20">
        <v>45708</v>
      </c>
      <c r="C275" s="2" t="s">
        <v>132</v>
      </c>
      <c r="D275" s="2" t="s">
        <v>9</v>
      </c>
      <c r="E275" s="2" t="s">
        <v>136</v>
      </c>
      <c r="F275" s="2" t="s">
        <v>55</v>
      </c>
      <c r="G275" s="2" t="s">
        <v>21</v>
      </c>
    </row>
    <row r="276" spans="1:7" ht="15" customHeight="1">
      <c r="A276" s="2" t="s">
        <v>180</v>
      </c>
      <c r="B276" s="20">
        <v>45708</v>
      </c>
      <c r="C276" s="2" t="s">
        <v>171</v>
      </c>
      <c r="D276" s="2" t="s">
        <v>9</v>
      </c>
      <c r="E276" s="2" t="s">
        <v>59</v>
      </c>
      <c r="F276" s="2" t="s">
        <v>165</v>
      </c>
      <c r="G276" s="2" t="s">
        <v>21</v>
      </c>
    </row>
    <row r="277" spans="1:7" ht="15" customHeight="1">
      <c r="A277" s="2" t="s">
        <v>193</v>
      </c>
      <c r="B277" s="20">
        <v>45708</v>
      </c>
      <c r="C277" s="2" t="s">
        <v>194</v>
      </c>
      <c r="D277" s="2" t="s">
        <v>9</v>
      </c>
      <c r="E277" s="2" t="s">
        <v>59</v>
      </c>
      <c r="F277" s="2" t="s">
        <v>195</v>
      </c>
      <c r="G277" s="2" t="s">
        <v>21</v>
      </c>
    </row>
    <row r="278" spans="1:7" ht="15" customHeight="1">
      <c r="A278" s="2" t="s">
        <v>388</v>
      </c>
      <c r="B278" s="20">
        <v>45708</v>
      </c>
      <c r="C278" s="2" t="s">
        <v>386</v>
      </c>
      <c r="D278" s="2" t="s">
        <v>26</v>
      </c>
      <c r="E278" s="2"/>
      <c r="F278" s="2"/>
      <c r="G278" s="2" t="s">
        <v>11</v>
      </c>
    </row>
    <row r="279" spans="1:7" ht="15" customHeight="1">
      <c r="A279" s="2" t="s">
        <v>396</v>
      </c>
      <c r="B279" s="20">
        <v>45708</v>
      </c>
      <c r="C279" s="2" t="s">
        <v>397</v>
      </c>
      <c r="D279" s="2" t="s">
        <v>42</v>
      </c>
      <c r="E279" s="2" t="s">
        <v>28</v>
      </c>
      <c r="F279" s="2" t="s">
        <v>261</v>
      </c>
      <c r="G279" s="2" t="s">
        <v>21</v>
      </c>
    </row>
    <row r="280" spans="1:7" ht="15" customHeight="1">
      <c r="A280" s="2" t="s">
        <v>497</v>
      </c>
      <c r="B280" s="20">
        <v>45708</v>
      </c>
      <c r="C280" s="2" t="s">
        <v>498</v>
      </c>
      <c r="D280" s="2" t="s">
        <v>42</v>
      </c>
      <c r="E280" s="2" t="s">
        <v>23</v>
      </c>
      <c r="F280" s="2" t="s">
        <v>32</v>
      </c>
      <c r="G280" s="2" t="s">
        <v>11</v>
      </c>
    </row>
    <row r="281" spans="1:7" ht="15" customHeight="1">
      <c r="A281" s="2" t="s">
        <v>523</v>
      </c>
      <c r="B281" s="20">
        <v>45708</v>
      </c>
      <c r="C281" s="2" t="s">
        <v>521</v>
      </c>
      <c r="D281" s="2" t="s">
        <v>42</v>
      </c>
      <c r="E281" s="2" t="s">
        <v>19</v>
      </c>
      <c r="F281" s="2" t="s">
        <v>66</v>
      </c>
      <c r="G281" s="2" t="s">
        <v>21</v>
      </c>
    </row>
    <row r="282" spans="1:7" ht="15" customHeight="1">
      <c r="A282" s="2" t="s">
        <v>128</v>
      </c>
      <c r="B282" s="20">
        <v>45709</v>
      </c>
      <c r="C282" s="2" t="s">
        <v>119</v>
      </c>
      <c r="D282" s="2" t="s">
        <v>9</v>
      </c>
      <c r="E282" s="2" t="s">
        <v>89</v>
      </c>
      <c r="F282" s="2" t="s">
        <v>122</v>
      </c>
      <c r="G282" s="2" t="s">
        <v>21</v>
      </c>
    </row>
    <row r="283" spans="1:7" ht="15" customHeight="1">
      <c r="A283" s="2" t="s">
        <v>209</v>
      </c>
      <c r="B283" s="20">
        <v>45709</v>
      </c>
      <c r="C283" s="2" t="s">
        <v>206</v>
      </c>
      <c r="D283" s="2" t="s">
        <v>42</v>
      </c>
      <c r="E283" s="2" t="s">
        <v>31</v>
      </c>
      <c r="F283" s="2" t="s">
        <v>92</v>
      </c>
      <c r="G283" s="2" t="s">
        <v>21</v>
      </c>
    </row>
    <row r="284" spans="1:7" ht="15" customHeight="1">
      <c r="A284" s="2" t="s">
        <v>376</v>
      </c>
      <c r="B284" s="20">
        <v>45709</v>
      </c>
      <c r="C284" s="2" t="s">
        <v>375</v>
      </c>
      <c r="D284" s="2" t="s">
        <v>42</v>
      </c>
      <c r="E284" s="2" t="s">
        <v>16</v>
      </c>
      <c r="F284" s="2" t="s">
        <v>110</v>
      </c>
      <c r="G284" s="2" t="s">
        <v>11</v>
      </c>
    </row>
    <row r="285" spans="1:7" ht="15" customHeight="1">
      <c r="A285" s="2" t="s">
        <v>365</v>
      </c>
      <c r="B285" s="20">
        <v>45710</v>
      </c>
      <c r="C285" s="2" t="s">
        <v>364</v>
      </c>
      <c r="D285" s="2" t="s">
        <v>26</v>
      </c>
      <c r="E285" s="2"/>
      <c r="F285" s="2"/>
      <c r="G285" s="2" t="s">
        <v>11</v>
      </c>
    </row>
    <row r="286" spans="1:7" ht="15" customHeight="1">
      <c r="A286" s="2" t="s">
        <v>533</v>
      </c>
      <c r="B286" s="20">
        <v>45710</v>
      </c>
      <c r="C286" s="2" t="s">
        <v>531</v>
      </c>
      <c r="D286" s="2" t="s">
        <v>42</v>
      </c>
      <c r="E286" s="2" t="s">
        <v>57</v>
      </c>
      <c r="F286" s="2" t="s">
        <v>191</v>
      </c>
      <c r="G286" s="2" t="s">
        <v>11</v>
      </c>
    </row>
    <row r="287" spans="1:7" ht="15" customHeight="1">
      <c r="A287" s="2" t="s">
        <v>219</v>
      </c>
      <c r="B287" s="20">
        <v>45711</v>
      </c>
      <c r="C287" s="2" t="s">
        <v>218</v>
      </c>
      <c r="D287" s="2" t="s">
        <v>9</v>
      </c>
      <c r="E287" s="2" t="s">
        <v>158</v>
      </c>
      <c r="F287" s="2" t="s">
        <v>68</v>
      </c>
      <c r="G287" s="2" t="s">
        <v>11</v>
      </c>
    </row>
    <row r="288" spans="1:7" ht="15" customHeight="1">
      <c r="A288" s="2" t="s">
        <v>373</v>
      </c>
      <c r="B288" s="20">
        <v>45711</v>
      </c>
      <c r="C288" s="2" t="s">
        <v>364</v>
      </c>
      <c r="D288" s="2" t="s">
        <v>9</v>
      </c>
      <c r="E288" s="2" t="s">
        <v>23</v>
      </c>
      <c r="F288" s="2" t="s">
        <v>68</v>
      </c>
      <c r="G288" s="2" t="s">
        <v>11</v>
      </c>
    </row>
    <row r="289" spans="1:7" ht="15" customHeight="1">
      <c r="A289" s="2" t="s">
        <v>579</v>
      </c>
      <c r="B289" s="20">
        <v>45711</v>
      </c>
      <c r="C289" s="2" t="s">
        <v>574</v>
      </c>
      <c r="D289" s="2" t="s">
        <v>26</v>
      </c>
      <c r="E289" s="2"/>
      <c r="F289" s="2"/>
      <c r="G289" s="2" t="s">
        <v>11</v>
      </c>
    </row>
    <row r="290" spans="1:7" ht="15" customHeight="1">
      <c r="A290" s="2" t="s">
        <v>102</v>
      </c>
      <c r="B290" s="20">
        <v>45712</v>
      </c>
      <c r="C290" s="2" t="s">
        <v>99</v>
      </c>
      <c r="D290" s="2" t="s">
        <v>42</v>
      </c>
      <c r="E290" s="2" t="s">
        <v>19</v>
      </c>
      <c r="F290" s="2" t="s">
        <v>103</v>
      </c>
      <c r="G290" s="2" t="s">
        <v>21</v>
      </c>
    </row>
    <row r="291" spans="1:7" ht="15" customHeight="1">
      <c r="A291" s="2" t="s">
        <v>148</v>
      </c>
      <c r="B291" s="20">
        <v>45712</v>
      </c>
      <c r="C291" s="2" t="s">
        <v>144</v>
      </c>
      <c r="D291" s="2" t="s">
        <v>9</v>
      </c>
      <c r="E291" s="2" t="s">
        <v>149</v>
      </c>
      <c r="F291" s="2" t="s">
        <v>20</v>
      </c>
      <c r="G291" s="2" t="s">
        <v>21</v>
      </c>
    </row>
    <row r="292" spans="1:7" ht="15" customHeight="1">
      <c r="A292" s="2" t="s">
        <v>248</v>
      </c>
      <c r="B292" s="20">
        <v>45712</v>
      </c>
      <c r="C292" s="2" t="s">
        <v>241</v>
      </c>
      <c r="D292" s="2" t="s">
        <v>42</v>
      </c>
      <c r="E292" s="2" t="s">
        <v>89</v>
      </c>
      <c r="F292" s="2" t="s">
        <v>75</v>
      </c>
      <c r="G292" s="2" t="s">
        <v>21</v>
      </c>
    </row>
    <row r="293" spans="1:7" ht="15" customHeight="1">
      <c r="A293" s="2" t="s">
        <v>499</v>
      </c>
      <c r="B293" s="20">
        <v>45712</v>
      </c>
      <c r="C293" s="2" t="s">
        <v>498</v>
      </c>
      <c r="D293" s="2" t="s">
        <v>26</v>
      </c>
      <c r="E293" s="2"/>
      <c r="F293" s="2"/>
      <c r="G293" s="2" t="s">
        <v>11</v>
      </c>
    </row>
    <row r="294" spans="1:7" ht="15" customHeight="1">
      <c r="A294" s="2" t="s">
        <v>568</v>
      </c>
      <c r="B294" s="20">
        <v>45712</v>
      </c>
      <c r="C294" s="2" t="s">
        <v>562</v>
      </c>
      <c r="D294" s="2" t="s">
        <v>26</v>
      </c>
      <c r="E294" s="2"/>
      <c r="F294" s="2"/>
      <c r="G294" s="2" t="s">
        <v>11</v>
      </c>
    </row>
    <row r="295" spans="1:7" ht="15" customHeight="1">
      <c r="A295" s="2" t="s">
        <v>142</v>
      </c>
      <c r="B295" s="20">
        <v>45713</v>
      </c>
      <c r="C295" s="2" t="s">
        <v>132</v>
      </c>
      <c r="D295" s="2" t="s">
        <v>9</v>
      </c>
      <c r="E295" s="2" t="s">
        <v>53</v>
      </c>
      <c r="F295" s="2" t="s">
        <v>66</v>
      </c>
      <c r="G295" s="2" t="s">
        <v>11</v>
      </c>
    </row>
    <row r="296" spans="1:7" ht="15" customHeight="1">
      <c r="A296" s="2" t="s">
        <v>423</v>
      </c>
      <c r="B296" s="20">
        <v>45713</v>
      </c>
      <c r="C296" s="2" t="s">
        <v>419</v>
      </c>
      <c r="D296" s="2" t="s">
        <v>26</v>
      </c>
      <c r="E296" s="2"/>
      <c r="F296" s="2"/>
      <c r="G296" s="2" t="s">
        <v>11</v>
      </c>
    </row>
    <row r="297" spans="1:7" ht="15" customHeight="1">
      <c r="A297" s="2" t="s">
        <v>71</v>
      </c>
      <c r="B297" s="20">
        <v>45714</v>
      </c>
      <c r="C297" s="2" t="s">
        <v>64</v>
      </c>
      <c r="D297" s="2" t="s">
        <v>9</v>
      </c>
      <c r="E297" s="2" t="s">
        <v>61</v>
      </c>
      <c r="F297" s="2" t="s">
        <v>72</v>
      </c>
      <c r="G297" s="2" t="s">
        <v>21</v>
      </c>
    </row>
    <row r="298" spans="1:7" ht="15" customHeight="1">
      <c r="A298" s="2" t="s">
        <v>95</v>
      </c>
      <c r="B298" s="20">
        <v>45714</v>
      </c>
      <c r="C298" s="2" t="s">
        <v>83</v>
      </c>
      <c r="D298" s="2" t="s">
        <v>42</v>
      </c>
      <c r="E298" s="2" t="s">
        <v>40</v>
      </c>
      <c r="F298" s="2" t="s">
        <v>96</v>
      </c>
      <c r="G298" s="2" t="s">
        <v>11</v>
      </c>
    </row>
    <row r="299" spans="1:7" ht="15" customHeight="1">
      <c r="A299" s="2" t="s">
        <v>166</v>
      </c>
      <c r="B299" s="20">
        <v>45714</v>
      </c>
      <c r="C299" s="2" t="s">
        <v>157</v>
      </c>
      <c r="D299" s="2" t="s">
        <v>9</v>
      </c>
      <c r="E299" s="2" t="s">
        <v>40</v>
      </c>
      <c r="F299" s="2" t="s">
        <v>14</v>
      </c>
      <c r="G299" s="2" t="s">
        <v>11</v>
      </c>
    </row>
    <row r="300" spans="1:7" ht="15" customHeight="1">
      <c r="A300" s="2" t="s">
        <v>199</v>
      </c>
      <c r="B300" s="20">
        <v>45714</v>
      </c>
      <c r="C300" s="2" t="s">
        <v>194</v>
      </c>
      <c r="D300" s="2" t="s">
        <v>9</v>
      </c>
      <c r="E300" s="2" t="s">
        <v>31</v>
      </c>
      <c r="F300" s="2" t="s">
        <v>96</v>
      </c>
      <c r="G300" s="2" t="s">
        <v>21</v>
      </c>
    </row>
    <row r="301" spans="1:7" ht="15" customHeight="1">
      <c r="A301" s="2" t="s">
        <v>242</v>
      </c>
      <c r="B301" s="20">
        <v>45714</v>
      </c>
      <c r="C301" s="2" t="s">
        <v>241</v>
      </c>
      <c r="D301" s="2" t="s">
        <v>42</v>
      </c>
      <c r="E301" s="2" t="s">
        <v>40</v>
      </c>
      <c r="F301" s="2" t="s">
        <v>17</v>
      </c>
      <c r="G301" s="2" t="s">
        <v>11</v>
      </c>
    </row>
    <row r="302" spans="1:7" ht="15" customHeight="1">
      <c r="A302" s="2" t="s">
        <v>287</v>
      </c>
      <c r="B302" s="20">
        <v>45714</v>
      </c>
      <c r="C302" s="2" t="s">
        <v>286</v>
      </c>
      <c r="D302" s="2" t="s">
        <v>9</v>
      </c>
      <c r="E302" s="2" t="s">
        <v>16</v>
      </c>
      <c r="F302" s="2" t="s">
        <v>14</v>
      </c>
      <c r="G302" s="2" t="s">
        <v>11</v>
      </c>
    </row>
    <row r="303" spans="1:7" ht="15" customHeight="1">
      <c r="A303" s="2" t="s">
        <v>418</v>
      </c>
      <c r="B303" s="20">
        <v>45714</v>
      </c>
      <c r="C303" s="2" t="s">
        <v>419</v>
      </c>
      <c r="D303" s="2" t="s">
        <v>9</v>
      </c>
      <c r="E303" s="2" t="s">
        <v>19</v>
      </c>
      <c r="F303" s="2" t="s">
        <v>292</v>
      </c>
      <c r="G303" s="2" t="s">
        <v>21</v>
      </c>
    </row>
    <row r="304" spans="1:7" ht="15" customHeight="1">
      <c r="A304" s="2" t="s">
        <v>429</v>
      </c>
      <c r="B304" s="20">
        <v>45714</v>
      </c>
      <c r="C304" s="2" t="s">
        <v>430</v>
      </c>
      <c r="D304" s="2" t="s">
        <v>9</v>
      </c>
      <c r="E304" s="2" t="s">
        <v>57</v>
      </c>
      <c r="F304" s="2" t="s">
        <v>17</v>
      </c>
      <c r="G304" s="2" t="s">
        <v>11</v>
      </c>
    </row>
    <row r="305" spans="1:7" ht="15" customHeight="1">
      <c r="A305" s="2" t="s">
        <v>558</v>
      </c>
      <c r="B305" s="20">
        <v>45714</v>
      </c>
      <c r="C305" s="2" t="s">
        <v>551</v>
      </c>
      <c r="D305" s="2" t="s">
        <v>9</v>
      </c>
      <c r="E305" s="2" t="s">
        <v>40</v>
      </c>
      <c r="F305" s="2" t="s">
        <v>127</v>
      </c>
      <c r="G305" s="2" t="s">
        <v>11</v>
      </c>
    </row>
    <row r="306" spans="1:7" ht="15" customHeight="1">
      <c r="A306" s="2" t="s">
        <v>247</v>
      </c>
      <c r="B306" s="20">
        <v>45715</v>
      </c>
      <c r="C306" s="2" t="s">
        <v>241</v>
      </c>
      <c r="D306" s="2" t="s">
        <v>42</v>
      </c>
      <c r="E306" s="2" t="s">
        <v>47</v>
      </c>
      <c r="F306" s="2" t="s">
        <v>14</v>
      </c>
      <c r="G306" s="2" t="s">
        <v>21</v>
      </c>
    </row>
    <row r="307" spans="1:7" ht="15" customHeight="1">
      <c r="A307" s="2" t="s">
        <v>372</v>
      </c>
      <c r="B307" s="20">
        <v>45715</v>
      </c>
      <c r="C307" s="2" t="s">
        <v>364</v>
      </c>
      <c r="D307" s="2" t="s">
        <v>42</v>
      </c>
      <c r="E307" s="2" t="s">
        <v>59</v>
      </c>
      <c r="F307" s="2" t="s">
        <v>32</v>
      </c>
      <c r="G307" s="2" t="s">
        <v>21</v>
      </c>
    </row>
    <row r="308" spans="1:7" ht="15" customHeight="1">
      <c r="A308" s="2" t="s">
        <v>413</v>
      </c>
      <c r="B308" s="20">
        <v>45715</v>
      </c>
      <c r="C308" s="2" t="s">
        <v>408</v>
      </c>
      <c r="D308" s="2" t="s">
        <v>9</v>
      </c>
      <c r="E308" s="2" t="s">
        <v>43</v>
      </c>
      <c r="F308" s="2" t="s">
        <v>24</v>
      </c>
      <c r="G308" s="2" t="s">
        <v>21</v>
      </c>
    </row>
    <row r="309" spans="1:7" ht="15" customHeight="1">
      <c r="A309" s="2" t="s">
        <v>492</v>
      </c>
      <c r="B309" s="20">
        <v>45715</v>
      </c>
      <c r="C309" s="2" t="s">
        <v>487</v>
      </c>
      <c r="D309" s="2" t="s">
        <v>9</v>
      </c>
      <c r="E309" s="2" t="s">
        <v>89</v>
      </c>
      <c r="F309" s="2" t="s">
        <v>10</v>
      </c>
      <c r="G309" s="2" t="s">
        <v>21</v>
      </c>
    </row>
    <row r="310" spans="1:7" ht="15" customHeight="1">
      <c r="A310" s="2" t="s">
        <v>540</v>
      </c>
      <c r="B310" s="20">
        <v>45715</v>
      </c>
      <c r="C310" s="2" t="s">
        <v>541</v>
      </c>
      <c r="D310" s="2" t="s">
        <v>9</v>
      </c>
      <c r="E310" s="2" t="s">
        <v>47</v>
      </c>
      <c r="F310" s="2" t="s">
        <v>24</v>
      </c>
      <c r="G310" s="2" t="s">
        <v>21</v>
      </c>
    </row>
    <row r="311" spans="1:7" ht="15" customHeight="1">
      <c r="A311" s="2" t="s">
        <v>186</v>
      </c>
      <c r="B311" s="20">
        <v>45716</v>
      </c>
      <c r="C311" s="2" t="s">
        <v>182</v>
      </c>
      <c r="D311" s="2" t="s">
        <v>26</v>
      </c>
      <c r="E311" s="2"/>
      <c r="F311" s="2"/>
      <c r="G311" s="2" t="s">
        <v>11</v>
      </c>
    </row>
    <row r="312" spans="1:7" ht="15" customHeight="1">
      <c r="A312" s="2" t="s">
        <v>214</v>
      </c>
      <c r="B312" s="20">
        <v>45716</v>
      </c>
      <c r="C312" s="2" t="s">
        <v>206</v>
      </c>
      <c r="D312" s="2" t="s">
        <v>26</v>
      </c>
      <c r="E312" s="2"/>
      <c r="F312" s="2"/>
      <c r="G312" s="2" t="s">
        <v>11</v>
      </c>
    </row>
    <row r="313" spans="1:7" ht="15" customHeight="1">
      <c r="A313" s="2" t="s">
        <v>435</v>
      </c>
      <c r="B313" s="20">
        <v>45716</v>
      </c>
      <c r="C313" s="2" t="s">
        <v>430</v>
      </c>
      <c r="D313" s="2" t="s">
        <v>26</v>
      </c>
      <c r="E313" s="2"/>
      <c r="F313" s="2"/>
      <c r="G313" s="2" t="s">
        <v>11</v>
      </c>
    </row>
    <row r="314" spans="1:7" ht="15" customHeight="1">
      <c r="A314" s="2" t="s">
        <v>512</v>
      </c>
      <c r="B314" s="20">
        <v>45716</v>
      </c>
      <c r="C314" s="2" t="s">
        <v>510</v>
      </c>
      <c r="D314" s="2" t="s">
        <v>26</v>
      </c>
      <c r="E314" s="2"/>
      <c r="F314" s="2"/>
      <c r="G314" s="2" t="s">
        <v>11</v>
      </c>
    </row>
    <row r="315" spans="1:7" ht="15" customHeight="1">
      <c r="A315" s="2" t="s">
        <v>522</v>
      </c>
      <c r="B315" s="20">
        <v>45716</v>
      </c>
      <c r="C315" s="2" t="s">
        <v>521</v>
      </c>
      <c r="D315" s="2" t="s">
        <v>26</v>
      </c>
      <c r="E315" s="2"/>
      <c r="F315" s="2"/>
      <c r="G315" s="2" t="s">
        <v>11</v>
      </c>
    </row>
    <row r="316" spans="1:7" ht="15" customHeight="1">
      <c r="A316" s="2" t="s">
        <v>58</v>
      </c>
      <c r="B316" s="20">
        <v>45717</v>
      </c>
      <c r="C316" s="2" t="s">
        <v>39</v>
      </c>
      <c r="D316" s="2" t="s">
        <v>9</v>
      </c>
      <c r="E316" s="2" t="s">
        <v>59</v>
      </c>
      <c r="F316" s="2" t="s">
        <v>48</v>
      </c>
      <c r="G316" s="2" t="s">
        <v>21</v>
      </c>
    </row>
    <row r="317" spans="1:7" ht="15" customHeight="1">
      <c r="A317" s="2" t="s">
        <v>341</v>
      </c>
      <c r="B317" s="20">
        <v>45717</v>
      </c>
      <c r="C317" s="2" t="s">
        <v>342</v>
      </c>
      <c r="D317" s="2" t="s">
        <v>9</v>
      </c>
      <c r="E317" s="2" t="s">
        <v>16</v>
      </c>
      <c r="F317" s="2" t="s">
        <v>75</v>
      </c>
      <c r="G317" s="2" t="s">
        <v>11</v>
      </c>
    </row>
    <row r="318" spans="1:7" ht="15" customHeight="1">
      <c r="A318" s="2" t="s">
        <v>36</v>
      </c>
      <c r="B318" s="20">
        <v>45718</v>
      </c>
      <c r="C318" s="2" t="s">
        <v>8</v>
      </c>
      <c r="D318" s="2" t="s">
        <v>9</v>
      </c>
      <c r="E318" s="2" t="s">
        <v>23</v>
      </c>
      <c r="F318" s="2" t="s">
        <v>37</v>
      </c>
      <c r="G318" s="2" t="s">
        <v>11</v>
      </c>
    </row>
    <row r="319" spans="1:7" ht="15" customHeight="1">
      <c r="A319" s="2" t="s">
        <v>390</v>
      </c>
      <c r="B319" s="20">
        <v>45718</v>
      </c>
      <c r="C319" s="2" t="s">
        <v>386</v>
      </c>
      <c r="D319" s="2" t="s">
        <v>9</v>
      </c>
      <c r="E319" s="2" t="s">
        <v>16</v>
      </c>
      <c r="F319" s="2" t="s">
        <v>106</v>
      </c>
      <c r="G319" s="2" t="s">
        <v>11</v>
      </c>
    </row>
    <row r="320" spans="1:7" ht="15" customHeight="1">
      <c r="A320" s="2" t="s">
        <v>403</v>
      </c>
      <c r="B320" s="20">
        <v>45718</v>
      </c>
      <c r="C320" s="2" t="s">
        <v>397</v>
      </c>
      <c r="D320" s="2" t="s">
        <v>26</v>
      </c>
      <c r="E320" s="2"/>
      <c r="F320" s="2"/>
      <c r="G320" s="2" t="s">
        <v>11</v>
      </c>
    </row>
    <row r="321" spans="1:7" ht="15" customHeight="1">
      <c r="A321" s="2" t="s">
        <v>518</v>
      </c>
      <c r="B321" s="20">
        <v>45718</v>
      </c>
      <c r="C321" s="2" t="s">
        <v>510</v>
      </c>
      <c r="D321" s="2" t="s">
        <v>26</v>
      </c>
      <c r="E321" s="2"/>
      <c r="F321" s="2"/>
      <c r="G321" s="2" t="s">
        <v>11</v>
      </c>
    </row>
    <row r="322" spans="1:7" ht="15" customHeight="1">
      <c r="A322" s="2" t="s">
        <v>532</v>
      </c>
      <c r="B322" s="20">
        <v>45718</v>
      </c>
      <c r="C322" s="2" t="s">
        <v>531</v>
      </c>
      <c r="D322" s="2" t="s">
        <v>42</v>
      </c>
      <c r="E322" s="2" t="s">
        <v>50</v>
      </c>
      <c r="F322" s="2" t="s">
        <v>10</v>
      </c>
      <c r="G322" s="2" t="s">
        <v>21</v>
      </c>
    </row>
    <row r="323" spans="1:7" ht="15" customHeight="1">
      <c r="A323" s="2" t="s">
        <v>590</v>
      </c>
      <c r="B323" s="20">
        <v>45718</v>
      </c>
      <c r="C323" s="2" t="s">
        <v>586</v>
      </c>
      <c r="D323" s="2" t="s">
        <v>9</v>
      </c>
      <c r="E323" s="2" t="s">
        <v>80</v>
      </c>
      <c r="F323" s="2" t="s">
        <v>78</v>
      </c>
      <c r="G323" s="2" t="s">
        <v>21</v>
      </c>
    </row>
    <row r="324" spans="1:7" ht="15" customHeight="1">
      <c r="A324" s="2" t="s">
        <v>111</v>
      </c>
      <c r="B324" s="20">
        <v>45719</v>
      </c>
      <c r="C324" s="2" t="s">
        <v>99</v>
      </c>
      <c r="D324" s="2" t="s">
        <v>42</v>
      </c>
      <c r="E324" s="2" t="s">
        <v>28</v>
      </c>
      <c r="F324" s="2" t="s">
        <v>10</v>
      </c>
      <c r="G324" s="2" t="s">
        <v>21</v>
      </c>
    </row>
    <row r="325" spans="1:7" ht="15" customHeight="1">
      <c r="A325" s="2" t="s">
        <v>155</v>
      </c>
      <c r="B325" s="20">
        <v>45719</v>
      </c>
      <c r="C325" s="2" t="s">
        <v>144</v>
      </c>
      <c r="D325" s="2" t="s">
        <v>9</v>
      </c>
      <c r="E325" s="2" t="s">
        <v>16</v>
      </c>
      <c r="F325" s="2" t="s">
        <v>17</v>
      </c>
      <c r="G325" s="2" t="s">
        <v>11</v>
      </c>
    </row>
    <row r="326" spans="1:7" ht="15" customHeight="1">
      <c r="A326" s="2" t="s">
        <v>336</v>
      </c>
      <c r="B326" s="20">
        <v>45719</v>
      </c>
      <c r="C326" s="2" t="s">
        <v>331</v>
      </c>
      <c r="D326" s="2" t="s">
        <v>9</v>
      </c>
      <c r="E326" s="2" t="s">
        <v>13</v>
      </c>
      <c r="F326" s="2" t="s">
        <v>72</v>
      </c>
      <c r="G326" s="2" t="s">
        <v>11</v>
      </c>
    </row>
    <row r="327" spans="1:7" ht="15" customHeight="1">
      <c r="A327" s="2" t="s">
        <v>389</v>
      </c>
      <c r="B327" s="20">
        <v>45719</v>
      </c>
      <c r="C327" s="2" t="s">
        <v>386</v>
      </c>
      <c r="D327" s="2" t="s">
        <v>26</v>
      </c>
      <c r="E327" s="2"/>
      <c r="F327" s="2"/>
      <c r="G327" s="2" t="s">
        <v>11</v>
      </c>
    </row>
    <row r="328" spans="1:7" ht="15" customHeight="1">
      <c r="A328" s="2" t="s">
        <v>552</v>
      </c>
      <c r="B328" s="20">
        <v>45719</v>
      </c>
      <c r="C328" s="2" t="s">
        <v>551</v>
      </c>
      <c r="D328" s="2" t="s">
        <v>9</v>
      </c>
      <c r="E328" s="2" t="s">
        <v>31</v>
      </c>
      <c r="F328" s="2" t="s">
        <v>14</v>
      </c>
      <c r="G328" s="2" t="s">
        <v>21</v>
      </c>
    </row>
    <row r="329" spans="1:7" ht="15" customHeight="1">
      <c r="A329" s="2" t="s">
        <v>580</v>
      </c>
      <c r="B329" s="20">
        <v>45719</v>
      </c>
      <c r="C329" s="2" t="s">
        <v>574</v>
      </c>
      <c r="D329" s="2" t="s">
        <v>9</v>
      </c>
      <c r="E329" s="2" t="s">
        <v>34</v>
      </c>
      <c r="F329" s="2" t="s">
        <v>86</v>
      </c>
      <c r="G329" s="2" t="s">
        <v>21</v>
      </c>
    </row>
    <row r="330" spans="1:7" ht="15" customHeight="1">
      <c r="A330" s="2" t="s">
        <v>81</v>
      </c>
      <c r="B330" s="20">
        <v>45720</v>
      </c>
      <c r="C330" s="2" t="s">
        <v>83</v>
      </c>
      <c r="D330" s="2" t="s">
        <v>26</v>
      </c>
      <c r="E330" s="2"/>
      <c r="F330" s="2"/>
      <c r="G330" s="2" t="s">
        <v>11</v>
      </c>
    </row>
    <row r="331" spans="1:7" ht="15" customHeight="1">
      <c r="A331" s="2" t="s">
        <v>123</v>
      </c>
      <c r="B331" s="20">
        <v>45720</v>
      </c>
      <c r="C331" s="2" t="s">
        <v>119</v>
      </c>
      <c r="D331" s="2" t="s">
        <v>26</v>
      </c>
      <c r="E331" s="2"/>
      <c r="F331" s="2"/>
      <c r="G331" s="2" t="s">
        <v>11</v>
      </c>
    </row>
    <row r="332" spans="1:7" ht="15" customHeight="1">
      <c r="A332" s="2" t="s">
        <v>152</v>
      </c>
      <c r="B332" s="20">
        <v>45720</v>
      </c>
      <c r="C332" s="2" t="s">
        <v>144</v>
      </c>
      <c r="D332" s="2" t="s">
        <v>42</v>
      </c>
      <c r="E332" s="2" t="s">
        <v>34</v>
      </c>
      <c r="F332" s="2" t="s">
        <v>66</v>
      </c>
      <c r="G332" s="2" t="s">
        <v>21</v>
      </c>
    </row>
    <row r="333" spans="1:7" ht="15" customHeight="1">
      <c r="A333" s="2" t="s">
        <v>240</v>
      </c>
      <c r="B333" s="20">
        <v>45720</v>
      </c>
      <c r="C333" s="2" t="s">
        <v>241</v>
      </c>
      <c r="D333" s="2" t="s">
        <v>9</v>
      </c>
      <c r="E333" s="2" t="s">
        <v>23</v>
      </c>
      <c r="F333" s="2" t="s">
        <v>101</v>
      </c>
      <c r="G333" s="2" t="s">
        <v>11</v>
      </c>
    </row>
    <row r="334" spans="1:7" ht="15" customHeight="1">
      <c r="A334" s="2" t="s">
        <v>315</v>
      </c>
      <c r="B334" s="20">
        <v>45720</v>
      </c>
      <c r="C334" s="2" t="s">
        <v>309</v>
      </c>
      <c r="D334" s="2" t="s">
        <v>9</v>
      </c>
      <c r="E334" s="2" t="s">
        <v>149</v>
      </c>
      <c r="F334" s="2" t="s">
        <v>191</v>
      </c>
      <c r="G334" s="2" t="s">
        <v>21</v>
      </c>
    </row>
    <row r="335" spans="1:7" ht="15" customHeight="1">
      <c r="A335" s="2" t="s">
        <v>246</v>
      </c>
      <c r="B335" s="20">
        <v>45721</v>
      </c>
      <c r="C335" s="2" t="s">
        <v>241</v>
      </c>
      <c r="D335" s="2" t="s">
        <v>42</v>
      </c>
      <c r="E335" s="2" t="s">
        <v>40</v>
      </c>
      <c r="F335" s="2" t="s">
        <v>195</v>
      </c>
      <c r="G335" s="2" t="s">
        <v>11</v>
      </c>
    </row>
    <row r="336" spans="1:7" ht="15" customHeight="1">
      <c r="A336" s="2" t="s">
        <v>125</v>
      </c>
      <c r="B336" s="20">
        <v>45722</v>
      </c>
      <c r="C336" s="2" t="s">
        <v>119</v>
      </c>
      <c r="D336" s="2" t="s">
        <v>42</v>
      </c>
      <c r="E336" s="2" t="s">
        <v>59</v>
      </c>
      <c r="F336" s="2" t="s">
        <v>44</v>
      </c>
      <c r="G336" s="2" t="s">
        <v>21</v>
      </c>
    </row>
    <row r="337" spans="1:7" ht="15" customHeight="1">
      <c r="A337" s="2" t="s">
        <v>221</v>
      </c>
      <c r="B337" s="20">
        <v>45722</v>
      </c>
      <c r="C337" s="2" t="s">
        <v>218</v>
      </c>
      <c r="D337" s="2" t="s">
        <v>9</v>
      </c>
      <c r="E337" s="2" t="s">
        <v>158</v>
      </c>
      <c r="F337" s="2" t="s">
        <v>127</v>
      </c>
      <c r="G337" s="2" t="s">
        <v>11</v>
      </c>
    </row>
    <row r="338" spans="1:7" ht="15" customHeight="1">
      <c r="A338" s="2" t="s">
        <v>297</v>
      </c>
      <c r="B338" s="20">
        <v>45722</v>
      </c>
      <c r="C338" s="2" t="s">
        <v>298</v>
      </c>
      <c r="D338" s="2" t="s">
        <v>9</v>
      </c>
      <c r="E338" s="2" t="s">
        <v>50</v>
      </c>
      <c r="F338" s="2" t="s">
        <v>101</v>
      </c>
      <c r="G338" s="2" t="s">
        <v>21</v>
      </c>
    </row>
    <row r="339" spans="1:7" ht="15" customHeight="1">
      <c r="A339" s="2" t="s">
        <v>374</v>
      </c>
      <c r="B339" s="20">
        <v>45722</v>
      </c>
      <c r="C339" s="2" t="s">
        <v>375</v>
      </c>
      <c r="D339" s="2" t="s">
        <v>42</v>
      </c>
      <c r="E339" s="2" t="s">
        <v>59</v>
      </c>
      <c r="F339" s="2" t="s">
        <v>35</v>
      </c>
      <c r="G339" s="2" t="s">
        <v>21</v>
      </c>
    </row>
    <row r="340" spans="1:7" ht="15" customHeight="1">
      <c r="A340" s="2" t="s">
        <v>689</v>
      </c>
      <c r="B340" s="20">
        <v>45722</v>
      </c>
      <c r="C340" s="12" t="s">
        <v>521</v>
      </c>
      <c r="D340" s="2" t="s">
        <v>9</v>
      </c>
      <c r="E340" s="2" t="s">
        <v>136</v>
      </c>
      <c r="F340" s="2" t="s">
        <v>75</v>
      </c>
      <c r="G340" s="2" t="s">
        <v>21</v>
      </c>
    </row>
    <row r="341" spans="1:7" ht="15" customHeight="1">
      <c r="A341" s="2" t="s">
        <v>41</v>
      </c>
      <c r="B341" s="20">
        <v>45723</v>
      </c>
      <c r="C341" s="2" t="s">
        <v>39</v>
      </c>
      <c r="D341" s="2" t="s">
        <v>42</v>
      </c>
      <c r="E341" s="2" t="s">
        <v>43</v>
      </c>
      <c r="F341" s="2" t="s">
        <v>44</v>
      </c>
      <c r="G341" s="2" t="s">
        <v>21</v>
      </c>
    </row>
    <row r="342" spans="1:7" ht="15" customHeight="1">
      <c r="A342" s="2" t="s">
        <v>84</v>
      </c>
      <c r="B342" s="20">
        <v>45723</v>
      </c>
      <c r="C342" s="2" t="s">
        <v>83</v>
      </c>
      <c r="D342" s="2" t="s">
        <v>26</v>
      </c>
      <c r="E342" s="2"/>
      <c r="F342" s="2"/>
      <c r="G342" s="2" t="s">
        <v>11</v>
      </c>
    </row>
    <row r="343" spans="1:7" ht="15" customHeight="1">
      <c r="A343" s="2" t="s">
        <v>137</v>
      </c>
      <c r="B343" s="20">
        <v>45723</v>
      </c>
      <c r="C343" s="2" t="s">
        <v>132</v>
      </c>
      <c r="D343" s="2" t="s">
        <v>9</v>
      </c>
      <c r="E343" s="2" t="s">
        <v>136</v>
      </c>
      <c r="F343" s="2" t="s">
        <v>55</v>
      </c>
      <c r="G343" s="2" t="s">
        <v>21</v>
      </c>
    </row>
    <row r="344" spans="1:7" ht="15" customHeight="1">
      <c r="A344" s="2" t="s">
        <v>281</v>
      </c>
      <c r="B344" s="20">
        <v>45723</v>
      </c>
      <c r="C344" s="2" t="s">
        <v>275</v>
      </c>
      <c r="D344" s="2" t="s">
        <v>9</v>
      </c>
      <c r="E344" s="2" t="s">
        <v>47</v>
      </c>
      <c r="F344" s="2" t="s">
        <v>261</v>
      </c>
      <c r="G344" s="2" t="s">
        <v>21</v>
      </c>
    </row>
    <row r="345" spans="1:7" ht="15" customHeight="1">
      <c r="A345" s="2" t="s">
        <v>428</v>
      </c>
      <c r="B345" s="20">
        <v>45723</v>
      </c>
      <c r="C345" s="2" t="s">
        <v>419</v>
      </c>
      <c r="D345" s="2" t="s">
        <v>26</v>
      </c>
      <c r="E345" s="2"/>
      <c r="F345" s="2"/>
      <c r="G345" s="2" t="s">
        <v>11</v>
      </c>
    </row>
    <row r="346" spans="1:7" ht="15" customHeight="1">
      <c r="A346" s="2" t="s">
        <v>451</v>
      </c>
      <c r="B346" s="20">
        <v>45723</v>
      </c>
      <c r="C346" s="2" t="s">
        <v>452</v>
      </c>
      <c r="D346" s="2" t="s">
        <v>9</v>
      </c>
      <c r="E346" s="2" t="s">
        <v>34</v>
      </c>
      <c r="F346" s="2" t="s">
        <v>14</v>
      </c>
      <c r="G346" s="2" t="s">
        <v>453</v>
      </c>
    </row>
    <row r="347" spans="1:7" ht="15" customHeight="1">
      <c r="A347" s="2" t="s">
        <v>504</v>
      </c>
      <c r="B347" s="20">
        <v>45723</v>
      </c>
      <c r="C347" s="2" t="s">
        <v>498</v>
      </c>
      <c r="D347" s="2" t="s">
        <v>9</v>
      </c>
      <c r="E347" s="2" t="s">
        <v>61</v>
      </c>
      <c r="F347" s="2" t="s">
        <v>44</v>
      </c>
      <c r="G347" s="2" t="s">
        <v>21</v>
      </c>
    </row>
    <row r="348" spans="1:7" ht="15" customHeight="1">
      <c r="A348" s="2" t="s">
        <v>536</v>
      </c>
      <c r="B348" s="20">
        <v>45723</v>
      </c>
      <c r="C348" s="2" t="s">
        <v>531</v>
      </c>
      <c r="D348" s="2" t="s">
        <v>42</v>
      </c>
      <c r="E348" s="2" t="s">
        <v>100</v>
      </c>
      <c r="F348" s="2" t="s">
        <v>78</v>
      </c>
      <c r="G348" s="2" t="s">
        <v>11</v>
      </c>
    </row>
    <row r="349" spans="1:7" ht="15" customHeight="1">
      <c r="A349" s="2" t="s">
        <v>570</v>
      </c>
      <c r="B349" s="20">
        <v>45723</v>
      </c>
      <c r="C349" s="2" t="s">
        <v>562</v>
      </c>
      <c r="D349" s="2" t="s">
        <v>9</v>
      </c>
      <c r="E349" s="2" t="s">
        <v>89</v>
      </c>
      <c r="F349" s="2" t="s">
        <v>44</v>
      </c>
      <c r="G349" s="2" t="s">
        <v>21</v>
      </c>
    </row>
    <row r="350" spans="1:7" ht="15" customHeight="1">
      <c r="A350" s="2" t="s">
        <v>22</v>
      </c>
      <c r="B350" s="20">
        <v>45724</v>
      </c>
      <c r="C350" s="2" t="s">
        <v>8</v>
      </c>
      <c r="D350" s="2" t="s">
        <v>9</v>
      </c>
      <c r="E350" s="2" t="s">
        <v>23</v>
      </c>
      <c r="F350" s="2" t="s">
        <v>24</v>
      </c>
      <c r="G350" s="2" t="s">
        <v>11</v>
      </c>
    </row>
    <row r="351" spans="1:7" ht="15" customHeight="1">
      <c r="A351" s="2" t="s">
        <v>260</v>
      </c>
      <c r="B351" s="20">
        <v>45724</v>
      </c>
      <c r="C351" s="2" t="s">
        <v>252</v>
      </c>
      <c r="D351" s="2" t="s">
        <v>42</v>
      </c>
      <c r="E351" s="2" t="s">
        <v>108</v>
      </c>
      <c r="F351" s="2" t="s">
        <v>261</v>
      </c>
      <c r="G351" s="2" t="s">
        <v>11</v>
      </c>
    </row>
    <row r="352" spans="1:7" ht="15" customHeight="1">
      <c r="A352" s="2" t="s">
        <v>295</v>
      </c>
      <c r="B352" s="20">
        <v>45724</v>
      </c>
      <c r="C352" s="2" t="s">
        <v>286</v>
      </c>
      <c r="D352" s="2" t="s">
        <v>26</v>
      </c>
      <c r="E352" s="2"/>
      <c r="F352" s="2"/>
      <c r="G352" s="2" t="s">
        <v>11</v>
      </c>
    </row>
    <row r="353" spans="1:7" ht="15" customHeight="1">
      <c r="A353" s="2" t="s">
        <v>369</v>
      </c>
      <c r="B353" s="20">
        <v>45724</v>
      </c>
      <c r="C353" s="2" t="s">
        <v>364</v>
      </c>
      <c r="D353" s="2" t="s">
        <v>9</v>
      </c>
      <c r="E353" s="2" t="s">
        <v>47</v>
      </c>
      <c r="F353" s="2" t="s">
        <v>66</v>
      </c>
      <c r="G353" s="2" t="s">
        <v>21</v>
      </c>
    </row>
    <row r="354" spans="1:7" ht="15" customHeight="1">
      <c r="A354" s="2" t="s">
        <v>476</v>
      </c>
      <c r="B354" s="20">
        <v>45724</v>
      </c>
      <c r="C354" s="2" t="s">
        <v>475</v>
      </c>
      <c r="D354" s="2" t="s">
        <v>9</v>
      </c>
      <c r="E354" s="2" t="s">
        <v>149</v>
      </c>
      <c r="F354" s="2" t="s">
        <v>101</v>
      </c>
      <c r="G354" s="2" t="s">
        <v>21</v>
      </c>
    </row>
    <row r="355" spans="1:7" ht="15" customHeight="1">
      <c r="A355" s="2" t="s">
        <v>537</v>
      </c>
      <c r="B355" s="20">
        <v>45724</v>
      </c>
      <c r="C355" s="2" t="s">
        <v>531</v>
      </c>
      <c r="D355" s="2" t="s">
        <v>9</v>
      </c>
      <c r="E355" s="2" t="s">
        <v>108</v>
      </c>
      <c r="F355" s="2" t="s">
        <v>168</v>
      </c>
      <c r="G355" s="2" t="s">
        <v>11</v>
      </c>
    </row>
    <row r="356" spans="1:7" ht="15" customHeight="1">
      <c r="A356" s="2" t="s">
        <v>30</v>
      </c>
      <c r="B356" s="20">
        <v>45725</v>
      </c>
      <c r="C356" s="2" t="s">
        <v>8</v>
      </c>
      <c r="D356" s="2" t="s">
        <v>9</v>
      </c>
      <c r="E356" s="2" t="s">
        <v>31</v>
      </c>
      <c r="F356" s="2" t="s">
        <v>32</v>
      </c>
      <c r="G356" s="2" t="s">
        <v>21</v>
      </c>
    </row>
    <row r="357" spans="1:7" ht="15" customHeight="1">
      <c r="A357" s="2" t="s">
        <v>262</v>
      </c>
      <c r="B357" s="20">
        <v>45725</v>
      </c>
      <c r="C357" s="2" t="s">
        <v>252</v>
      </c>
      <c r="D357" s="2" t="s">
        <v>9</v>
      </c>
      <c r="E357" s="2" t="s">
        <v>80</v>
      </c>
      <c r="F357" s="2" t="s">
        <v>66</v>
      </c>
      <c r="G357" s="2" t="s">
        <v>21</v>
      </c>
    </row>
    <row r="358" spans="1:7" ht="15" customHeight="1">
      <c r="A358" s="2" t="s">
        <v>503</v>
      </c>
      <c r="B358" s="20">
        <v>45725</v>
      </c>
      <c r="C358" s="2" t="s">
        <v>498</v>
      </c>
      <c r="D358" s="2" t="s">
        <v>9</v>
      </c>
      <c r="E358" s="2" t="s">
        <v>53</v>
      </c>
      <c r="F358" s="2" t="s">
        <v>154</v>
      </c>
      <c r="G358" s="2" t="s">
        <v>11</v>
      </c>
    </row>
    <row r="359" spans="1:7" ht="15" customHeight="1">
      <c r="A359" s="2" t="s">
        <v>256</v>
      </c>
      <c r="B359" s="20">
        <v>45726</v>
      </c>
      <c r="C359" s="2" t="s">
        <v>252</v>
      </c>
      <c r="D359" s="2" t="s">
        <v>26</v>
      </c>
      <c r="E359" s="2"/>
      <c r="F359" s="2"/>
      <c r="G359" s="2" t="s">
        <v>11</v>
      </c>
    </row>
    <row r="360" spans="1:7" ht="15" customHeight="1">
      <c r="A360" s="2" t="s">
        <v>387</v>
      </c>
      <c r="B360" s="20">
        <v>45726</v>
      </c>
      <c r="C360" s="2" t="s">
        <v>386</v>
      </c>
      <c r="D360" s="2" t="s">
        <v>42</v>
      </c>
      <c r="E360" s="2" t="s">
        <v>16</v>
      </c>
      <c r="F360" s="2" t="s">
        <v>72</v>
      </c>
      <c r="G360" s="2" t="s">
        <v>11</v>
      </c>
    </row>
    <row r="361" spans="1:7" ht="15" customHeight="1">
      <c r="A361" s="2" t="s">
        <v>424</v>
      </c>
      <c r="B361" s="20">
        <v>45726</v>
      </c>
      <c r="C361" s="2" t="s">
        <v>419</v>
      </c>
      <c r="D361" s="2" t="s">
        <v>9</v>
      </c>
      <c r="E361" s="2" t="s">
        <v>43</v>
      </c>
      <c r="F361" s="2" t="s">
        <v>92</v>
      </c>
      <c r="G361" s="2" t="s">
        <v>21</v>
      </c>
    </row>
    <row r="362" spans="1:7" ht="15" customHeight="1">
      <c r="A362" s="2" t="s">
        <v>472</v>
      </c>
      <c r="B362" s="20">
        <v>45726</v>
      </c>
      <c r="C362" s="2" t="s">
        <v>464</v>
      </c>
      <c r="D362" s="2" t="s">
        <v>9</v>
      </c>
      <c r="E362" s="2" t="s">
        <v>226</v>
      </c>
      <c r="F362" s="2" t="s">
        <v>48</v>
      </c>
      <c r="G362" s="2" t="s">
        <v>11</v>
      </c>
    </row>
    <row r="363" spans="1:7" ht="15" customHeight="1">
      <c r="A363" s="2" t="s">
        <v>7</v>
      </c>
      <c r="B363" s="20">
        <v>45727</v>
      </c>
      <c r="C363" s="2" t="s">
        <v>8</v>
      </c>
      <c r="D363" s="2" t="s">
        <v>26</v>
      </c>
      <c r="E363" s="2"/>
      <c r="F363" s="2"/>
      <c r="G363" s="2" t="s">
        <v>11</v>
      </c>
    </row>
    <row r="364" spans="1:7" ht="15" customHeight="1">
      <c r="A364" s="2" t="s">
        <v>169</v>
      </c>
      <c r="B364" s="20">
        <v>45727</v>
      </c>
      <c r="C364" s="2" t="s">
        <v>157</v>
      </c>
      <c r="D364" s="2" t="s">
        <v>9</v>
      </c>
      <c r="E364" s="2" t="s">
        <v>16</v>
      </c>
      <c r="F364" s="2" t="s">
        <v>32</v>
      </c>
      <c r="G364" s="2" t="s">
        <v>11</v>
      </c>
    </row>
    <row r="365" spans="1:7" ht="15" customHeight="1">
      <c r="A365" s="2" t="s">
        <v>181</v>
      </c>
      <c r="B365" s="20">
        <v>45727</v>
      </c>
      <c r="C365" s="2" t="s">
        <v>182</v>
      </c>
      <c r="D365" s="2" t="s">
        <v>9</v>
      </c>
      <c r="E365" s="2" t="s">
        <v>108</v>
      </c>
      <c r="F365" s="2" t="s">
        <v>51</v>
      </c>
      <c r="G365" s="2" t="s">
        <v>11</v>
      </c>
    </row>
    <row r="366" spans="1:7" ht="15" customHeight="1">
      <c r="A366" s="2" t="s">
        <v>324</v>
      </c>
      <c r="B366" s="20">
        <v>45727</v>
      </c>
      <c r="C366" s="2" t="s">
        <v>320</v>
      </c>
      <c r="D366" s="2" t="s">
        <v>9</v>
      </c>
      <c r="E366" s="2" t="s">
        <v>100</v>
      </c>
      <c r="F366" s="2" t="s">
        <v>32</v>
      </c>
      <c r="G366" s="2" t="s">
        <v>11</v>
      </c>
    </row>
    <row r="367" spans="1:7" ht="15" customHeight="1">
      <c r="A367" s="2" t="s">
        <v>434</v>
      </c>
      <c r="B367" s="20">
        <v>45727</v>
      </c>
      <c r="C367" s="2" t="s">
        <v>430</v>
      </c>
      <c r="D367" s="2" t="s">
        <v>42</v>
      </c>
      <c r="E367" s="2" t="s">
        <v>80</v>
      </c>
      <c r="F367" s="2" t="s">
        <v>165</v>
      </c>
      <c r="G367" s="2" t="s">
        <v>21</v>
      </c>
    </row>
    <row r="368" spans="1:7" ht="15" customHeight="1">
      <c r="A368" s="2" t="s">
        <v>617</v>
      </c>
      <c r="B368" s="20">
        <v>45727</v>
      </c>
      <c r="C368" s="2" t="s">
        <v>609</v>
      </c>
      <c r="D368" s="2" t="s">
        <v>9</v>
      </c>
      <c r="E368" s="2" t="s">
        <v>50</v>
      </c>
      <c r="F368" s="2" t="s">
        <v>86</v>
      </c>
      <c r="G368" s="2" t="s">
        <v>21</v>
      </c>
    </row>
    <row r="369" spans="1:7" ht="15" customHeight="1">
      <c r="A369" s="2" t="s">
        <v>94</v>
      </c>
      <c r="B369" s="20">
        <v>45728</v>
      </c>
      <c r="C369" s="2" t="s">
        <v>83</v>
      </c>
      <c r="D369" s="2" t="s">
        <v>9</v>
      </c>
      <c r="E369" s="2" t="s">
        <v>16</v>
      </c>
      <c r="F369" s="2" t="s">
        <v>68</v>
      </c>
      <c r="G369" s="2" t="s">
        <v>11</v>
      </c>
    </row>
    <row r="370" spans="1:7" ht="15" customHeight="1">
      <c r="A370" s="2" t="s">
        <v>188</v>
      </c>
      <c r="B370" s="20">
        <v>45728</v>
      </c>
      <c r="C370" s="2" t="s">
        <v>182</v>
      </c>
      <c r="D370" s="2" t="s">
        <v>26</v>
      </c>
      <c r="E370" s="2"/>
      <c r="F370" s="2"/>
      <c r="G370" s="2" t="s">
        <v>11</v>
      </c>
    </row>
    <row r="371" spans="1:7" ht="15" customHeight="1">
      <c r="A371" s="2" t="s">
        <v>291</v>
      </c>
      <c r="B371" s="20">
        <v>45728</v>
      </c>
      <c r="C371" s="2" t="s">
        <v>286</v>
      </c>
      <c r="D371" s="2" t="s">
        <v>42</v>
      </c>
      <c r="E371" s="2" t="s">
        <v>50</v>
      </c>
      <c r="F371" s="2" t="s">
        <v>292</v>
      </c>
      <c r="G371" s="2" t="s">
        <v>21</v>
      </c>
    </row>
    <row r="372" spans="1:7" ht="15" customHeight="1">
      <c r="A372" s="2" t="s">
        <v>538</v>
      </c>
      <c r="B372" s="20">
        <v>45728</v>
      </c>
      <c r="C372" s="2" t="s">
        <v>531</v>
      </c>
      <c r="D372" s="2" t="s">
        <v>42</v>
      </c>
      <c r="E372" s="2" t="s">
        <v>149</v>
      </c>
      <c r="F372" s="2" t="s">
        <v>20</v>
      </c>
      <c r="G372" s="2" t="s">
        <v>21</v>
      </c>
    </row>
    <row r="373" spans="1:7" ht="15" customHeight="1">
      <c r="A373" s="2" t="s">
        <v>566</v>
      </c>
      <c r="B373" s="20">
        <v>45728</v>
      </c>
      <c r="C373" s="2" t="s">
        <v>562</v>
      </c>
      <c r="D373" s="2" t="s">
        <v>9</v>
      </c>
      <c r="E373" s="2" t="s">
        <v>50</v>
      </c>
      <c r="F373" s="2" t="s">
        <v>261</v>
      </c>
      <c r="G373" s="2" t="s">
        <v>21</v>
      </c>
    </row>
    <row r="374" spans="1:7" ht="15" customHeight="1">
      <c r="A374" s="2" t="s">
        <v>577</v>
      </c>
      <c r="B374" s="20">
        <v>45728</v>
      </c>
      <c r="C374" s="2" t="s">
        <v>574</v>
      </c>
      <c r="D374" s="2" t="s">
        <v>9</v>
      </c>
      <c r="E374" s="2" t="s">
        <v>47</v>
      </c>
      <c r="F374" s="2" t="s">
        <v>261</v>
      </c>
      <c r="G374" s="2" t="s">
        <v>21</v>
      </c>
    </row>
    <row r="375" spans="1:7" ht="15" customHeight="1">
      <c r="A375" s="2" t="s">
        <v>79</v>
      </c>
      <c r="B375" s="20">
        <v>45729</v>
      </c>
      <c r="C375" s="2" t="s">
        <v>64</v>
      </c>
      <c r="D375" s="2" t="s">
        <v>9</v>
      </c>
      <c r="E375" s="2" t="s">
        <v>80</v>
      </c>
      <c r="F375" s="2" t="s">
        <v>66</v>
      </c>
      <c r="G375" s="2" t="s">
        <v>21</v>
      </c>
    </row>
    <row r="376" spans="1:7" ht="15" customHeight="1">
      <c r="A376" s="2" t="s">
        <v>124</v>
      </c>
      <c r="B376" s="20">
        <v>45729</v>
      </c>
      <c r="C376" s="2" t="s">
        <v>119</v>
      </c>
      <c r="D376" s="2" t="s">
        <v>42</v>
      </c>
      <c r="E376" s="2" t="s">
        <v>50</v>
      </c>
      <c r="F376" s="2" t="s">
        <v>37</v>
      </c>
      <c r="G376" s="2" t="s">
        <v>21</v>
      </c>
    </row>
    <row r="377" spans="1:7" ht="15" customHeight="1">
      <c r="A377" s="2" t="s">
        <v>140</v>
      </c>
      <c r="B377" s="20">
        <v>45729</v>
      </c>
      <c r="C377" s="2" t="s">
        <v>132</v>
      </c>
      <c r="D377" s="2" t="s">
        <v>42</v>
      </c>
      <c r="E377" s="2" t="s">
        <v>50</v>
      </c>
      <c r="F377" s="2" t="s">
        <v>24</v>
      </c>
      <c r="G377" s="2" t="s">
        <v>21</v>
      </c>
    </row>
    <row r="378" spans="1:7" ht="15" customHeight="1">
      <c r="A378" s="2" t="s">
        <v>302</v>
      </c>
      <c r="B378" s="20">
        <v>45729</v>
      </c>
      <c r="C378" s="2" t="s">
        <v>298</v>
      </c>
      <c r="D378" s="2" t="s">
        <v>42</v>
      </c>
      <c r="E378" s="2" t="s">
        <v>31</v>
      </c>
      <c r="F378" s="2" t="s">
        <v>191</v>
      </c>
      <c r="G378" s="2" t="s">
        <v>21</v>
      </c>
    </row>
    <row r="379" spans="1:7" ht="15" customHeight="1">
      <c r="A379" s="2" t="s">
        <v>368</v>
      </c>
      <c r="B379" s="20">
        <v>45729</v>
      </c>
      <c r="C379" s="2" t="s">
        <v>364</v>
      </c>
      <c r="D379" s="2" t="s">
        <v>9</v>
      </c>
      <c r="E379" s="2" t="s">
        <v>80</v>
      </c>
      <c r="F379" s="2" t="s">
        <v>20</v>
      </c>
      <c r="G379" s="2" t="s">
        <v>21</v>
      </c>
    </row>
    <row r="380" spans="1:7" ht="15" customHeight="1">
      <c r="A380" s="2" t="s">
        <v>378</v>
      </c>
      <c r="B380" s="20">
        <v>45729</v>
      </c>
      <c r="C380" s="2" t="s">
        <v>375</v>
      </c>
      <c r="D380" s="2" t="s">
        <v>42</v>
      </c>
      <c r="E380" s="2" t="s">
        <v>28</v>
      </c>
      <c r="F380" s="2" t="s">
        <v>110</v>
      </c>
      <c r="G380" s="2" t="s">
        <v>21</v>
      </c>
    </row>
    <row r="381" spans="1:7" ht="15" customHeight="1">
      <c r="A381" s="2" t="s">
        <v>560</v>
      </c>
      <c r="B381" s="20">
        <v>45729</v>
      </c>
      <c r="C381" s="2" t="s">
        <v>551</v>
      </c>
      <c r="D381" s="2" t="s">
        <v>9</v>
      </c>
      <c r="E381" s="2" t="s">
        <v>158</v>
      </c>
      <c r="F381" s="2" t="s">
        <v>127</v>
      </c>
      <c r="G381" s="2" t="s">
        <v>11</v>
      </c>
    </row>
    <row r="382" spans="1:7" ht="15" customHeight="1">
      <c r="A382" s="2" t="s">
        <v>117</v>
      </c>
      <c r="B382" s="20">
        <v>45730</v>
      </c>
      <c r="C382" s="2" t="s">
        <v>99</v>
      </c>
      <c r="D382" s="2" t="s">
        <v>26</v>
      </c>
      <c r="E382" s="2"/>
      <c r="F382" s="2"/>
      <c r="G382" s="2" t="s">
        <v>11</v>
      </c>
    </row>
    <row r="383" spans="1:7" ht="15" customHeight="1">
      <c r="A383" s="2" t="s">
        <v>151</v>
      </c>
      <c r="B383" s="20">
        <v>45730</v>
      </c>
      <c r="C383" s="2" t="s">
        <v>144</v>
      </c>
      <c r="D383" s="2" t="s">
        <v>26</v>
      </c>
      <c r="E383" s="2"/>
      <c r="F383" s="2"/>
      <c r="G383" s="2" t="s">
        <v>11</v>
      </c>
    </row>
    <row r="384" spans="1:7" ht="15" customHeight="1">
      <c r="A384" s="2" t="s">
        <v>164</v>
      </c>
      <c r="B384" s="20">
        <v>45730</v>
      </c>
      <c r="C384" s="2" t="s">
        <v>157</v>
      </c>
      <c r="D384" s="2" t="s">
        <v>42</v>
      </c>
      <c r="E384" s="2" t="s">
        <v>57</v>
      </c>
      <c r="F384" s="2" t="s">
        <v>165</v>
      </c>
      <c r="G384" s="2" t="s">
        <v>11</v>
      </c>
    </row>
    <row r="385" spans="1:7" ht="15" customHeight="1">
      <c r="A385" s="2" t="s">
        <v>268</v>
      </c>
      <c r="B385" s="20">
        <v>45730</v>
      </c>
      <c r="C385" s="2" t="s">
        <v>264</v>
      </c>
      <c r="D385" s="2" t="s">
        <v>9</v>
      </c>
      <c r="E385" s="2" t="s">
        <v>16</v>
      </c>
      <c r="F385" s="2" t="s">
        <v>37</v>
      </c>
      <c r="G385" s="2" t="s">
        <v>11</v>
      </c>
    </row>
    <row r="386" spans="1:7" ht="15" customHeight="1">
      <c r="A386" s="2" t="s">
        <v>349</v>
      </c>
      <c r="B386" s="20">
        <v>45730</v>
      </c>
      <c r="C386" s="2" t="s">
        <v>342</v>
      </c>
      <c r="D386" s="2" t="s">
        <v>9</v>
      </c>
      <c r="E386" s="2" t="s">
        <v>28</v>
      </c>
      <c r="F386" s="2" t="s">
        <v>55</v>
      </c>
      <c r="G386" s="2" t="s">
        <v>21</v>
      </c>
    </row>
    <row r="387" spans="1:7" ht="15" customHeight="1">
      <c r="A387" s="2" t="s">
        <v>493</v>
      </c>
      <c r="B387" s="20">
        <v>45730</v>
      </c>
      <c r="C387" s="2" t="s">
        <v>487</v>
      </c>
      <c r="D387" s="2" t="s">
        <v>26</v>
      </c>
      <c r="E387" s="2"/>
      <c r="F387" s="2"/>
      <c r="G387" s="2" t="s">
        <v>11</v>
      </c>
    </row>
    <row r="388" spans="1:7" ht="15" customHeight="1">
      <c r="A388" s="2" t="s">
        <v>529</v>
      </c>
      <c r="B388" s="20">
        <v>45730</v>
      </c>
      <c r="C388" s="2" t="s">
        <v>521</v>
      </c>
      <c r="D388" s="2" t="s">
        <v>42</v>
      </c>
      <c r="E388" s="2" t="s">
        <v>28</v>
      </c>
      <c r="F388" s="2" t="s">
        <v>55</v>
      </c>
      <c r="G388" s="2" t="s">
        <v>21</v>
      </c>
    </row>
    <row r="389" spans="1:7" ht="15" customHeight="1">
      <c r="A389" s="2" t="s">
        <v>600</v>
      </c>
      <c r="B389" s="20">
        <v>45730</v>
      </c>
      <c r="C389" s="2" t="s">
        <v>598</v>
      </c>
      <c r="D389" s="2" t="s">
        <v>26</v>
      </c>
      <c r="E389" s="2"/>
      <c r="F389" s="2"/>
      <c r="G389" s="2" t="s">
        <v>11</v>
      </c>
    </row>
    <row r="390" spans="1:7" ht="15" customHeight="1">
      <c r="A390" s="2" t="s">
        <v>623</v>
      </c>
      <c r="B390" s="20">
        <v>45730</v>
      </c>
      <c r="C390" s="2" t="s">
        <v>621</v>
      </c>
      <c r="D390" s="2" t="s">
        <v>9</v>
      </c>
      <c r="E390" s="2" t="s">
        <v>16</v>
      </c>
      <c r="F390" s="2" t="s">
        <v>92</v>
      </c>
      <c r="G390" s="2" t="s">
        <v>11</v>
      </c>
    </row>
    <row r="391" spans="1:7" ht="15" customHeight="1">
      <c r="A391" s="2" t="s">
        <v>54</v>
      </c>
      <c r="B391" s="20">
        <v>45731</v>
      </c>
      <c r="C391" s="2" t="s">
        <v>39</v>
      </c>
      <c r="D391" s="2" t="s">
        <v>9</v>
      </c>
      <c r="E391" s="2" t="s">
        <v>50</v>
      </c>
      <c r="F391" s="2" t="s">
        <v>55</v>
      </c>
      <c r="G391" s="2" t="s">
        <v>21</v>
      </c>
    </row>
    <row r="392" spans="1:7" ht="15" customHeight="1">
      <c r="A392" s="2" t="s">
        <v>210</v>
      </c>
      <c r="B392" s="20">
        <v>45731</v>
      </c>
      <c r="C392" s="2" t="s">
        <v>206</v>
      </c>
      <c r="D392" s="2" t="s">
        <v>9</v>
      </c>
      <c r="E392" s="2" t="s">
        <v>40</v>
      </c>
      <c r="F392" s="2" t="s">
        <v>211</v>
      </c>
      <c r="G392" s="2" t="s">
        <v>11</v>
      </c>
    </row>
    <row r="393" spans="1:7" ht="15" customHeight="1">
      <c r="A393" s="2" t="s">
        <v>217</v>
      </c>
      <c r="B393" s="20">
        <v>45731</v>
      </c>
      <c r="C393" s="2" t="s">
        <v>218</v>
      </c>
      <c r="D393" s="2" t="s">
        <v>26</v>
      </c>
      <c r="E393" s="2"/>
      <c r="F393" s="2"/>
      <c r="G393" s="2" t="s">
        <v>11</v>
      </c>
    </row>
    <row r="394" spans="1:7" ht="15" customHeight="1">
      <c r="A394" s="2" t="s">
        <v>250</v>
      </c>
      <c r="B394" s="20">
        <v>45731</v>
      </c>
      <c r="C394" s="2" t="s">
        <v>241</v>
      </c>
      <c r="D394" s="2" t="s">
        <v>26</v>
      </c>
      <c r="E394" s="2"/>
      <c r="F394" s="2"/>
      <c r="G394" s="2" t="s">
        <v>11</v>
      </c>
    </row>
    <row r="395" spans="1:7" ht="15" customHeight="1">
      <c r="A395" s="2" t="s">
        <v>270</v>
      </c>
      <c r="B395" s="20">
        <v>45731</v>
      </c>
      <c r="C395" s="2" t="s">
        <v>264</v>
      </c>
      <c r="D395" s="2" t="s">
        <v>9</v>
      </c>
      <c r="E395" s="2" t="s">
        <v>80</v>
      </c>
      <c r="F395" s="2" t="s">
        <v>90</v>
      </c>
      <c r="G395" s="2" t="s">
        <v>21</v>
      </c>
    </row>
    <row r="396" spans="1:7" ht="15" customHeight="1">
      <c r="A396" s="2" t="s">
        <v>131</v>
      </c>
      <c r="B396" s="20">
        <v>45732</v>
      </c>
      <c r="C396" s="2" t="s">
        <v>132</v>
      </c>
      <c r="D396" s="2" t="s">
        <v>42</v>
      </c>
      <c r="E396" s="2" t="s">
        <v>105</v>
      </c>
      <c r="F396" s="2" t="s">
        <v>29</v>
      </c>
      <c r="G396" s="2" t="s">
        <v>21</v>
      </c>
    </row>
    <row r="397" spans="1:7" ht="15" customHeight="1">
      <c r="A397" s="2" t="s">
        <v>192</v>
      </c>
      <c r="B397" s="20">
        <v>45732</v>
      </c>
      <c r="C397" s="2" t="s">
        <v>182</v>
      </c>
      <c r="D397" s="2" t="s">
        <v>42</v>
      </c>
      <c r="E397" s="2" t="s">
        <v>100</v>
      </c>
      <c r="F397" s="2" t="s">
        <v>96</v>
      </c>
      <c r="G397" s="2" t="s">
        <v>11</v>
      </c>
    </row>
    <row r="398" spans="1:7" ht="15" customHeight="1">
      <c r="A398" s="2" t="s">
        <v>328</v>
      </c>
      <c r="B398" s="20">
        <v>45732</v>
      </c>
      <c r="C398" s="2" t="s">
        <v>320</v>
      </c>
      <c r="D398" s="2" t="s">
        <v>9</v>
      </c>
      <c r="E398" s="2" t="s">
        <v>89</v>
      </c>
      <c r="F398" s="2" t="s">
        <v>113</v>
      </c>
      <c r="G398" s="2" t="s">
        <v>21</v>
      </c>
    </row>
    <row r="399" spans="1:7" ht="15" customHeight="1">
      <c r="A399" s="2" t="s">
        <v>393</v>
      </c>
      <c r="B399" s="20">
        <v>45732</v>
      </c>
      <c r="C399" s="2" t="s">
        <v>386</v>
      </c>
      <c r="D399" s="2" t="s">
        <v>42</v>
      </c>
      <c r="E399" s="2" t="s">
        <v>53</v>
      </c>
      <c r="F399" s="2" t="s">
        <v>191</v>
      </c>
      <c r="G399" s="2" t="s">
        <v>11</v>
      </c>
    </row>
    <row r="400" spans="1:7" ht="15" customHeight="1">
      <c r="A400" s="2" t="s">
        <v>139</v>
      </c>
      <c r="B400" s="20">
        <v>45733</v>
      </c>
      <c r="C400" s="2" t="s">
        <v>132</v>
      </c>
      <c r="D400" s="2" t="s">
        <v>26</v>
      </c>
      <c r="E400" s="2"/>
      <c r="F400" s="2"/>
      <c r="G400" s="2" t="s">
        <v>11</v>
      </c>
    </row>
    <row r="401" spans="1:7" ht="15" customHeight="1">
      <c r="A401" s="2" t="s">
        <v>305</v>
      </c>
      <c r="B401" s="20">
        <v>45733</v>
      </c>
      <c r="C401" s="2" t="s">
        <v>298</v>
      </c>
      <c r="D401" s="2" t="s">
        <v>42</v>
      </c>
      <c r="E401" s="2" t="s">
        <v>47</v>
      </c>
      <c r="F401" s="2" t="s">
        <v>127</v>
      </c>
      <c r="G401" s="2" t="s">
        <v>21</v>
      </c>
    </row>
    <row r="402" spans="1:7" ht="15" customHeight="1">
      <c r="A402" s="2" t="s">
        <v>357</v>
      </c>
      <c r="B402" s="20">
        <v>45733</v>
      </c>
      <c r="C402" s="2" t="s">
        <v>353</v>
      </c>
      <c r="D402" s="2" t="s">
        <v>9</v>
      </c>
      <c r="E402" s="2" t="s">
        <v>108</v>
      </c>
      <c r="F402" s="2" t="s">
        <v>96</v>
      </c>
      <c r="G402" s="2" t="s">
        <v>11</v>
      </c>
    </row>
    <row r="403" spans="1:7" ht="15" customHeight="1">
      <c r="A403" s="2" t="s">
        <v>377</v>
      </c>
      <c r="B403" s="20">
        <v>45733</v>
      </c>
      <c r="C403" s="2" t="s">
        <v>375</v>
      </c>
      <c r="D403" s="2" t="s">
        <v>42</v>
      </c>
      <c r="E403" s="2" t="s">
        <v>158</v>
      </c>
      <c r="F403" s="2" t="s">
        <v>24</v>
      </c>
      <c r="G403" s="2" t="s">
        <v>11</v>
      </c>
    </row>
    <row r="404" spans="1:7" ht="15" customHeight="1">
      <c r="A404" s="2" t="s">
        <v>443</v>
      </c>
      <c r="B404" s="20">
        <v>45733</v>
      </c>
      <c r="C404" s="2" t="s">
        <v>441</v>
      </c>
      <c r="D404" s="2" t="s">
        <v>26</v>
      </c>
      <c r="E404" s="2"/>
      <c r="F404" s="2"/>
      <c r="G404" s="2" t="s">
        <v>11</v>
      </c>
    </row>
    <row r="405" spans="1:7" ht="15" customHeight="1">
      <c r="A405" s="2" t="s">
        <v>508</v>
      </c>
      <c r="B405" s="20">
        <v>45733</v>
      </c>
      <c r="C405" s="2" t="s">
        <v>510</v>
      </c>
      <c r="D405" s="2" t="s">
        <v>26</v>
      </c>
      <c r="E405" s="2"/>
      <c r="F405" s="2"/>
      <c r="G405" s="2" t="s">
        <v>11</v>
      </c>
    </row>
    <row r="406" spans="1:7" ht="15" customHeight="1">
      <c r="A406" s="2" t="s">
        <v>107</v>
      </c>
      <c r="B406" s="20">
        <v>45734</v>
      </c>
      <c r="C406" s="2" t="s">
        <v>99</v>
      </c>
      <c r="D406" s="2" t="s">
        <v>9</v>
      </c>
      <c r="E406" s="2" t="s">
        <v>108</v>
      </c>
      <c r="F406" s="2" t="s">
        <v>90</v>
      </c>
      <c r="G406" s="2" t="s">
        <v>11</v>
      </c>
    </row>
    <row r="407" spans="1:7" ht="15" customHeight="1">
      <c r="A407" s="2" t="s">
        <v>184</v>
      </c>
      <c r="B407" s="20">
        <v>45734</v>
      </c>
      <c r="C407" s="2" t="s">
        <v>182</v>
      </c>
      <c r="D407" s="2" t="s">
        <v>26</v>
      </c>
      <c r="E407" s="2"/>
      <c r="F407" s="2"/>
      <c r="G407" s="2" t="s">
        <v>11</v>
      </c>
    </row>
    <row r="408" spans="1:7" ht="15" customHeight="1">
      <c r="A408" s="2" t="s">
        <v>289</v>
      </c>
      <c r="B408" s="20">
        <v>45734</v>
      </c>
      <c r="C408" s="2" t="s">
        <v>286</v>
      </c>
      <c r="D408" s="2" t="s">
        <v>26</v>
      </c>
      <c r="E408" s="2"/>
      <c r="F408" s="2"/>
      <c r="G408" s="2" t="s">
        <v>11</v>
      </c>
    </row>
    <row r="409" spans="1:7" ht="15" customHeight="1">
      <c r="A409" s="2" t="s">
        <v>337</v>
      </c>
      <c r="B409" s="20">
        <v>45734</v>
      </c>
      <c r="C409" s="2" t="s">
        <v>331</v>
      </c>
      <c r="D409" s="2" t="s">
        <v>9</v>
      </c>
      <c r="E409" s="2" t="s">
        <v>23</v>
      </c>
      <c r="F409" s="2" t="s">
        <v>122</v>
      </c>
      <c r="G409" s="2" t="s">
        <v>11</v>
      </c>
    </row>
    <row r="410" spans="1:7" ht="15" customHeight="1">
      <c r="A410" s="2" t="s">
        <v>457</v>
      </c>
      <c r="B410" s="20">
        <v>45734</v>
      </c>
      <c r="C410" s="2" t="s">
        <v>452</v>
      </c>
      <c r="D410" s="2" t="s">
        <v>42</v>
      </c>
      <c r="E410" s="2" t="s">
        <v>80</v>
      </c>
      <c r="F410" s="2" t="s">
        <v>55</v>
      </c>
      <c r="G410" s="2" t="s">
        <v>21</v>
      </c>
    </row>
    <row r="411" spans="1:7" ht="15" customHeight="1">
      <c r="A411" s="2" t="s">
        <v>161</v>
      </c>
      <c r="B411" s="20">
        <v>45735</v>
      </c>
      <c r="C411" s="2" t="s">
        <v>157</v>
      </c>
      <c r="D411" s="2" t="s">
        <v>42</v>
      </c>
      <c r="E411" s="2" t="s">
        <v>16</v>
      </c>
      <c r="F411" s="2" t="s">
        <v>106</v>
      </c>
      <c r="G411" s="2" t="s">
        <v>11</v>
      </c>
    </row>
    <row r="412" spans="1:7" ht="15" customHeight="1">
      <c r="A412" s="2" t="s">
        <v>312</v>
      </c>
      <c r="B412" s="20">
        <v>45735</v>
      </c>
      <c r="C412" s="2" t="s">
        <v>309</v>
      </c>
      <c r="D412" s="2" t="s">
        <v>9</v>
      </c>
      <c r="E412" s="2" t="s">
        <v>100</v>
      </c>
      <c r="F412" s="2" t="s">
        <v>32</v>
      </c>
      <c r="G412" s="2" t="s">
        <v>11</v>
      </c>
    </row>
    <row r="413" spans="1:7" ht="15" customHeight="1">
      <c r="A413" s="2" t="s">
        <v>69</v>
      </c>
      <c r="B413" s="20">
        <v>45736</v>
      </c>
      <c r="C413" s="2" t="s">
        <v>64</v>
      </c>
      <c r="D413" s="2" t="s">
        <v>26</v>
      </c>
      <c r="E413" s="2"/>
      <c r="F413" s="2"/>
      <c r="G413" s="2" t="s">
        <v>11</v>
      </c>
    </row>
    <row r="414" spans="1:7" ht="15" customHeight="1">
      <c r="A414" s="2" t="s">
        <v>153</v>
      </c>
      <c r="B414" s="20">
        <v>45736</v>
      </c>
      <c r="C414" s="2" t="s">
        <v>144</v>
      </c>
      <c r="D414" s="2" t="s">
        <v>9</v>
      </c>
      <c r="E414" s="2" t="s">
        <v>31</v>
      </c>
      <c r="F414" s="2" t="s">
        <v>154</v>
      </c>
      <c r="G414" s="2" t="s">
        <v>21</v>
      </c>
    </row>
    <row r="415" spans="1:7" ht="15" customHeight="1">
      <c r="A415" s="2" t="s">
        <v>198</v>
      </c>
      <c r="B415" s="20">
        <v>45736</v>
      </c>
      <c r="C415" s="2" t="s">
        <v>194</v>
      </c>
      <c r="D415" s="2" t="s">
        <v>42</v>
      </c>
      <c r="E415" s="2" t="s">
        <v>31</v>
      </c>
      <c r="F415" s="2" t="s">
        <v>101</v>
      </c>
      <c r="G415" s="2" t="s">
        <v>21</v>
      </c>
    </row>
    <row r="416" spans="1:7" ht="15" customHeight="1">
      <c r="A416" s="2" t="s">
        <v>334</v>
      </c>
      <c r="B416" s="20">
        <v>45736</v>
      </c>
      <c r="C416" s="2" t="s">
        <v>331</v>
      </c>
      <c r="D416" s="2" t="s">
        <v>9</v>
      </c>
      <c r="E416" s="2" t="s">
        <v>16</v>
      </c>
      <c r="F416" s="2" t="s">
        <v>78</v>
      </c>
      <c r="G416" s="2" t="s">
        <v>11</v>
      </c>
    </row>
    <row r="417" spans="1:7" ht="15" customHeight="1">
      <c r="A417" s="2" t="s">
        <v>163</v>
      </c>
      <c r="B417" s="20">
        <v>45737</v>
      </c>
      <c r="C417" s="2" t="s">
        <v>157</v>
      </c>
      <c r="D417" s="2" t="s">
        <v>9</v>
      </c>
      <c r="E417" s="2" t="s">
        <v>100</v>
      </c>
      <c r="F417" s="2" t="s">
        <v>113</v>
      </c>
      <c r="G417" s="2" t="s">
        <v>11</v>
      </c>
    </row>
    <row r="418" spans="1:7" ht="15" customHeight="1">
      <c r="A418" s="2" t="s">
        <v>233</v>
      </c>
      <c r="B418" s="20">
        <v>45737</v>
      </c>
      <c r="C418" s="2" t="s">
        <v>230</v>
      </c>
      <c r="D418" s="2" t="s">
        <v>9</v>
      </c>
      <c r="E418" s="2" t="s">
        <v>61</v>
      </c>
      <c r="F418" s="2" t="s">
        <v>75</v>
      </c>
      <c r="G418" s="2" t="s">
        <v>21</v>
      </c>
    </row>
    <row r="419" spans="1:7" ht="15" customHeight="1">
      <c r="A419" s="2" t="s">
        <v>345</v>
      </c>
      <c r="B419" s="20">
        <v>45737</v>
      </c>
      <c r="C419" s="2" t="s">
        <v>342</v>
      </c>
      <c r="D419" s="2" t="s">
        <v>9</v>
      </c>
      <c r="E419" s="2" t="s">
        <v>136</v>
      </c>
      <c r="F419" s="2" t="s">
        <v>66</v>
      </c>
      <c r="G419" s="2" t="s">
        <v>21</v>
      </c>
    </row>
    <row r="420" spans="1:7" ht="15" customHeight="1">
      <c r="A420" s="2" t="s">
        <v>361</v>
      </c>
      <c r="B420" s="20">
        <v>45737</v>
      </c>
      <c r="C420" s="2" t="s">
        <v>353</v>
      </c>
      <c r="D420" s="2" t="s">
        <v>9</v>
      </c>
      <c r="E420" s="2" t="s">
        <v>28</v>
      </c>
      <c r="F420" s="2" t="s">
        <v>127</v>
      </c>
      <c r="G420" s="2" t="s">
        <v>21</v>
      </c>
    </row>
    <row r="421" spans="1:7" ht="15" customHeight="1">
      <c r="A421" s="2" t="s">
        <v>450</v>
      </c>
      <c r="B421" s="20">
        <v>45737</v>
      </c>
      <c r="C421" s="2" t="s">
        <v>441</v>
      </c>
      <c r="D421" s="2" t="s">
        <v>9</v>
      </c>
      <c r="E421" s="2" t="s">
        <v>34</v>
      </c>
      <c r="F421" s="2" t="s">
        <v>211</v>
      </c>
      <c r="G421" s="2" t="s">
        <v>21</v>
      </c>
    </row>
    <row r="422" spans="1:7" ht="15" customHeight="1">
      <c r="A422" s="2" t="s">
        <v>526</v>
      </c>
      <c r="B422" s="20">
        <v>45737</v>
      </c>
      <c r="C422" s="2" t="s">
        <v>521</v>
      </c>
      <c r="D422" s="2" t="s">
        <v>9</v>
      </c>
      <c r="E422" s="2" t="s">
        <v>80</v>
      </c>
      <c r="F422" s="2" t="s">
        <v>122</v>
      </c>
      <c r="G422" s="2" t="s">
        <v>21</v>
      </c>
    </row>
    <row r="423" spans="1:7" ht="15" customHeight="1">
      <c r="A423" s="2" t="s">
        <v>632</v>
      </c>
      <c r="B423" s="20">
        <v>45737</v>
      </c>
      <c r="C423" s="12" t="s">
        <v>541</v>
      </c>
      <c r="D423" s="2" t="s">
        <v>9</v>
      </c>
      <c r="E423" s="2" t="s">
        <v>89</v>
      </c>
      <c r="F423" s="2" t="s">
        <v>103</v>
      </c>
      <c r="G423" s="2" t="s">
        <v>21</v>
      </c>
    </row>
    <row r="424" spans="1:7" ht="15" customHeight="1">
      <c r="A424" s="2" t="s">
        <v>177</v>
      </c>
      <c r="B424" s="20">
        <v>45738</v>
      </c>
      <c r="C424" s="2" t="s">
        <v>171</v>
      </c>
      <c r="D424" s="2" t="s">
        <v>9</v>
      </c>
      <c r="E424" s="2" t="s">
        <v>53</v>
      </c>
      <c r="F424" s="2" t="s">
        <v>154</v>
      </c>
      <c r="G424" s="2" t="s">
        <v>11</v>
      </c>
    </row>
    <row r="425" spans="1:7" ht="15" customHeight="1">
      <c r="A425" s="2" t="s">
        <v>255</v>
      </c>
      <c r="B425" s="20">
        <v>45738</v>
      </c>
      <c r="C425" s="2" t="s">
        <v>252</v>
      </c>
      <c r="D425" s="2" t="s">
        <v>42</v>
      </c>
      <c r="E425" s="2" t="s">
        <v>28</v>
      </c>
      <c r="F425" s="2" t="s">
        <v>86</v>
      </c>
      <c r="G425" s="2" t="s">
        <v>21</v>
      </c>
    </row>
    <row r="426" spans="1:7" ht="15" customHeight="1">
      <c r="A426" s="2" t="s">
        <v>454</v>
      </c>
      <c r="B426" s="20">
        <v>45738</v>
      </c>
      <c r="C426" s="2" t="s">
        <v>452</v>
      </c>
      <c r="D426" s="2" t="s">
        <v>9</v>
      </c>
      <c r="E426" s="2" t="s">
        <v>158</v>
      </c>
      <c r="F426" s="2" t="s">
        <v>35</v>
      </c>
      <c r="G426" s="2" t="s">
        <v>11</v>
      </c>
    </row>
    <row r="427" spans="1:7" ht="15" customHeight="1">
      <c r="A427" s="2" t="s">
        <v>571</v>
      </c>
      <c r="B427" s="20">
        <v>45738</v>
      </c>
      <c r="C427" s="2" t="s">
        <v>562</v>
      </c>
      <c r="D427" s="2" t="s">
        <v>9</v>
      </c>
      <c r="E427" s="2" t="s">
        <v>136</v>
      </c>
      <c r="F427" s="2" t="s">
        <v>10</v>
      </c>
      <c r="G427" s="2" t="s">
        <v>21</v>
      </c>
    </row>
    <row r="428" spans="1:7" ht="15" customHeight="1">
      <c r="A428" s="2" t="s">
        <v>585</v>
      </c>
      <c r="B428" s="20">
        <v>45738</v>
      </c>
      <c r="C428" s="2" t="s">
        <v>586</v>
      </c>
      <c r="D428" s="2" t="s">
        <v>26</v>
      </c>
      <c r="E428" s="2"/>
      <c r="F428" s="2"/>
      <c r="G428" s="2" t="s">
        <v>11</v>
      </c>
    </row>
    <row r="429" spans="1:7" ht="15" customHeight="1">
      <c r="A429" s="2" t="s">
        <v>114</v>
      </c>
      <c r="B429" s="20">
        <v>45739</v>
      </c>
      <c r="C429" s="2" t="s">
        <v>99</v>
      </c>
      <c r="D429" s="2" t="s">
        <v>9</v>
      </c>
      <c r="E429" s="2" t="s">
        <v>115</v>
      </c>
      <c r="F429" s="2" t="s">
        <v>66</v>
      </c>
      <c r="G429" s="2" t="s">
        <v>21</v>
      </c>
    </row>
    <row r="430" spans="1:7" ht="15" customHeight="1">
      <c r="A430" s="2" t="s">
        <v>276</v>
      </c>
      <c r="B430" s="20">
        <v>45739</v>
      </c>
      <c r="C430" s="2" t="s">
        <v>275</v>
      </c>
      <c r="D430" s="2" t="s">
        <v>26</v>
      </c>
      <c r="E430" s="2"/>
      <c r="F430" s="2"/>
      <c r="G430" s="2" t="s">
        <v>11</v>
      </c>
    </row>
    <row r="431" spans="1:7" ht="15" customHeight="1">
      <c r="A431" s="2" t="s">
        <v>146</v>
      </c>
      <c r="B431" s="20">
        <v>45740</v>
      </c>
      <c r="C431" s="2" t="s">
        <v>144</v>
      </c>
      <c r="D431" s="2" t="s">
        <v>9</v>
      </c>
      <c r="E431" s="2" t="s">
        <v>105</v>
      </c>
      <c r="F431" s="2" t="s">
        <v>20</v>
      </c>
      <c r="G431" s="2" t="s">
        <v>21</v>
      </c>
    </row>
    <row r="432" spans="1:7" ht="15" customHeight="1">
      <c r="A432" s="2" t="s">
        <v>205</v>
      </c>
      <c r="B432" s="20">
        <v>45740</v>
      </c>
      <c r="C432" s="2" t="s">
        <v>206</v>
      </c>
      <c r="D432" s="2" t="s">
        <v>26</v>
      </c>
      <c r="E432" s="2"/>
      <c r="F432" s="2"/>
      <c r="G432" s="2" t="s">
        <v>11</v>
      </c>
    </row>
    <row r="433" spans="1:7" ht="15" customHeight="1">
      <c r="A433" s="2" t="s">
        <v>317</v>
      </c>
      <c r="B433" s="20">
        <v>45740</v>
      </c>
      <c r="C433" s="2" t="s">
        <v>309</v>
      </c>
      <c r="D433" s="2" t="s">
        <v>42</v>
      </c>
      <c r="E433" s="2" t="s">
        <v>105</v>
      </c>
      <c r="F433" s="2" t="s">
        <v>20</v>
      </c>
      <c r="G433" s="2" t="s">
        <v>21</v>
      </c>
    </row>
    <row r="434" spans="1:7" ht="15" customHeight="1">
      <c r="A434" s="2" t="s">
        <v>469</v>
      </c>
      <c r="B434" s="20">
        <v>45740</v>
      </c>
      <c r="C434" s="2" t="s">
        <v>464</v>
      </c>
      <c r="D434" s="2" t="s">
        <v>26</v>
      </c>
      <c r="E434" s="2"/>
      <c r="F434" s="2"/>
      <c r="G434" s="2" t="s">
        <v>11</v>
      </c>
    </row>
    <row r="435" spans="1:7" ht="15" customHeight="1">
      <c r="A435" s="2" t="s">
        <v>27</v>
      </c>
      <c r="B435" s="20">
        <v>45741</v>
      </c>
      <c r="C435" s="2" t="s">
        <v>8</v>
      </c>
      <c r="D435" s="2" t="s">
        <v>9</v>
      </c>
      <c r="E435" s="2" t="s">
        <v>28</v>
      </c>
      <c r="F435" s="2" t="s">
        <v>29</v>
      </c>
      <c r="G435" s="2" t="s">
        <v>21</v>
      </c>
    </row>
    <row r="436" spans="1:7" ht="15" customHeight="1">
      <c r="A436" s="2" t="s">
        <v>104</v>
      </c>
      <c r="B436" s="20">
        <v>45741</v>
      </c>
      <c r="C436" s="2" t="s">
        <v>99</v>
      </c>
      <c r="D436" s="2" t="s">
        <v>42</v>
      </c>
      <c r="E436" s="2" t="s">
        <v>105</v>
      </c>
      <c r="F436" s="2" t="s">
        <v>106</v>
      </c>
      <c r="G436" s="2" t="s">
        <v>21</v>
      </c>
    </row>
    <row r="437" spans="1:7" ht="15" customHeight="1">
      <c r="A437" s="2" t="s">
        <v>183</v>
      </c>
      <c r="B437" s="20">
        <v>45741</v>
      </c>
      <c r="C437" s="2" t="s">
        <v>182</v>
      </c>
      <c r="D437" s="2" t="s">
        <v>42</v>
      </c>
      <c r="E437" s="2" t="s">
        <v>61</v>
      </c>
      <c r="F437" s="2" t="s">
        <v>168</v>
      </c>
      <c r="G437" s="2" t="s">
        <v>21</v>
      </c>
    </row>
    <row r="438" spans="1:7" ht="15" customHeight="1">
      <c r="A438" s="2" t="s">
        <v>284</v>
      </c>
      <c r="B438" s="20">
        <v>45741</v>
      </c>
      <c r="C438" s="2" t="s">
        <v>275</v>
      </c>
      <c r="D438" s="2" t="s">
        <v>9</v>
      </c>
      <c r="E438" s="2" t="s">
        <v>19</v>
      </c>
      <c r="F438" s="2" t="s">
        <v>90</v>
      </c>
      <c r="G438" s="2" t="s">
        <v>21</v>
      </c>
    </row>
    <row r="439" spans="1:7" ht="15" customHeight="1">
      <c r="A439" s="2" t="s">
        <v>359</v>
      </c>
      <c r="B439" s="20">
        <v>45741</v>
      </c>
      <c r="C439" s="2" t="s">
        <v>353</v>
      </c>
      <c r="D439" s="2" t="s">
        <v>42</v>
      </c>
      <c r="E439" s="2" t="s">
        <v>105</v>
      </c>
      <c r="F439" s="2" t="s">
        <v>44</v>
      </c>
      <c r="G439" s="2" t="s">
        <v>21</v>
      </c>
    </row>
    <row r="440" spans="1:7" ht="15" customHeight="1">
      <c r="A440" s="2" t="s">
        <v>371</v>
      </c>
      <c r="B440" s="20">
        <v>45741</v>
      </c>
      <c r="C440" s="2" t="s">
        <v>364</v>
      </c>
      <c r="D440" s="2" t="s">
        <v>26</v>
      </c>
      <c r="E440" s="2"/>
      <c r="F440" s="2"/>
      <c r="G440" s="2" t="s">
        <v>11</v>
      </c>
    </row>
    <row r="441" spans="1:7" ht="15" customHeight="1">
      <c r="A441" s="2" t="s">
        <v>406</v>
      </c>
      <c r="B441" s="20">
        <v>45741</v>
      </c>
      <c r="C441" s="2" t="s">
        <v>397</v>
      </c>
      <c r="D441" s="2" t="s">
        <v>42</v>
      </c>
      <c r="E441" s="2" t="s">
        <v>13</v>
      </c>
      <c r="F441" s="2" t="s">
        <v>195</v>
      </c>
      <c r="G441" s="2" t="s">
        <v>11</v>
      </c>
    </row>
    <row r="442" spans="1:7" ht="15" customHeight="1">
      <c r="A442" s="2" t="s">
        <v>615</v>
      </c>
      <c r="B442" s="20">
        <v>45741</v>
      </c>
      <c r="C442" s="2" t="s">
        <v>609</v>
      </c>
      <c r="D442" s="2" t="s">
        <v>9</v>
      </c>
      <c r="E442" s="2" t="s">
        <v>149</v>
      </c>
      <c r="F442" s="2" t="s">
        <v>211</v>
      </c>
      <c r="G442" s="2" t="s">
        <v>21</v>
      </c>
    </row>
    <row r="443" spans="1:7" ht="15" customHeight="1">
      <c r="A443" s="2" t="s">
        <v>162</v>
      </c>
      <c r="B443" s="20">
        <v>45742</v>
      </c>
      <c r="C443" s="2" t="s">
        <v>157</v>
      </c>
      <c r="D443" s="2" t="s">
        <v>26</v>
      </c>
      <c r="E443" s="2"/>
      <c r="F443" s="2"/>
      <c r="G443" s="2" t="s">
        <v>11</v>
      </c>
    </row>
    <row r="444" spans="1:7" ht="15" customHeight="1">
      <c r="A444" s="2" t="s">
        <v>190</v>
      </c>
      <c r="B444" s="20">
        <v>45742</v>
      </c>
      <c r="C444" s="2" t="s">
        <v>182</v>
      </c>
      <c r="D444" s="2" t="s">
        <v>9</v>
      </c>
      <c r="E444" s="2" t="s">
        <v>57</v>
      </c>
      <c r="F444" s="2" t="s">
        <v>191</v>
      </c>
      <c r="G444" s="2" t="s">
        <v>11</v>
      </c>
    </row>
    <row r="445" spans="1:7" ht="15" customHeight="1">
      <c r="A445" s="2" t="s">
        <v>201</v>
      </c>
      <c r="B445" s="20">
        <v>45742</v>
      </c>
      <c r="C445" s="2" t="s">
        <v>194</v>
      </c>
      <c r="D445" s="2" t="s">
        <v>26</v>
      </c>
      <c r="E445" s="2"/>
      <c r="F445" s="2"/>
      <c r="G445" s="2" t="s">
        <v>11</v>
      </c>
    </row>
    <row r="446" spans="1:7" ht="15" customHeight="1">
      <c r="A446" s="2" t="s">
        <v>589</v>
      </c>
      <c r="B446" s="20">
        <v>45742</v>
      </c>
      <c r="C446" s="2" t="s">
        <v>586</v>
      </c>
      <c r="D446" s="2" t="s">
        <v>42</v>
      </c>
      <c r="E446" s="2" t="s">
        <v>23</v>
      </c>
      <c r="F446" s="2" t="s">
        <v>48</v>
      </c>
      <c r="G446" s="2" t="s">
        <v>11</v>
      </c>
    </row>
    <row r="447" spans="1:7" ht="15" customHeight="1">
      <c r="A447" s="2" t="s">
        <v>109</v>
      </c>
      <c r="B447" s="20">
        <v>45743</v>
      </c>
      <c r="C447" s="2" t="s">
        <v>99</v>
      </c>
      <c r="D447" s="2" t="s">
        <v>42</v>
      </c>
      <c r="E447" s="2" t="s">
        <v>31</v>
      </c>
      <c r="F447" s="2" t="s">
        <v>110</v>
      </c>
      <c r="G447" s="2" t="s">
        <v>21</v>
      </c>
    </row>
    <row r="448" spans="1:7" ht="15" customHeight="1">
      <c r="A448" s="2" t="s">
        <v>159</v>
      </c>
      <c r="B448" s="20">
        <v>45743</v>
      </c>
      <c r="C448" s="2" t="s">
        <v>157</v>
      </c>
      <c r="D448" s="2" t="s">
        <v>9</v>
      </c>
      <c r="E448" s="2" t="s">
        <v>149</v>
      </c>
      <c r="F448" s="2" t="s">
        <v>92</v>
      </c>
      <c r="G448" s="2" t="s">
        <v>21</v>
      </c>
    </row>
    <row r="449" spans="1:7" ht="15" customHeight="1">
      <c r="A449" s="2" t="s">
        <v>414</v>
      </c>
      <c r="B449" s="20">
        <v>45743</v>
      </c>
      <c r="C449" s="2" t="s">
        <v>408</v>
      </c>
      <c r="D449" s="2" t="s">
        <v>9</v>
      </c>
      <c r="E449" s="2" t="s">
        <v>57</v>
      </c>
      <c r="F449" s="2" t="s">
        <v>17</v>
      </c>
      <c r="G449" s="2" t="s">
        <v>11</v>
      </c>
    </row>
    <row r="450" spans="1:7" ht="15" customHeight="1">
      <c r="A450" s="2" t="s">
        <v>437</v>
      </c>
      <c r="B450" s="20">
        <v>45743</v>
      </c>
      <c r="C450" s="2" t="s">
        <v>430</v>
      </c>
      <c r="D450" s="2" t="s">
        <v>9</v>
      </c>
      <c r="E450" s="2" t="s">
        <v>50</v>
      </c>
      <c r="F450" s="2" t="s">
        <v>51</v>
      </c>
      <c r="G450" s="2" t="s">
        <v>21</v>
      </c>
    </row>
    <row r="451" spans="1:7" ht="15" customHeight="1">
      <c r="A451" s="2" t="s">
        <v>525</v>
      </c>
      <c r="B451" s="20">
        <v>45743</v>
      </c>
      <c r="C451" s="2" t="s">
        <v>521</v>
      </c>
      <c r="D451" s="2" t="s">
        <v>9</v>
      </c>
      <c r="E451" s="2" t="s">
        <v>53</v>
      </c>
      <c r="F451" s="2" t="s">
        <v>113</v>
      </c>
      <c r="G451" s="2" t="s">
        <v>11</v>
      </c>
    </row>
    <row r="452" spans="1:7" ht="15" customHeight="1">
      <c r="A452" s="2" t="s">
        <v>384</v>
      </c>
      <c r="B452" s="20">
        <v>45744</v>
      </c>
      <c r="C452" s="2" t="s">
        <v>375</v>
      </c>
      <c r="D452" s="2" t="s">
        <v>9</v>
      </c>
      <c r="E452" s="2" t="s">
        <v>108</v>
      </c>
      <c r="F452" s="2" t="s">
        <v>55</v>
      </c>
      <c r="G452" s="2" t="s">
        <v>11</v>
      </c>
    </row>
    <row r="453" spans="1:7" ht="15" customHeight="1">
      <c r="A453" s="2" t="s">
        <v>427</v>
      </c>
      <c r="B453" s="20">
        <v>45744</v>
      </c>
      <c r="C453" s="2" t="s">
        <v>419</v>
      </c>
      <c r="D453" s="2" t="s">
        <v>9</v>
      </c>
      <c r="E453" s="2" t="s">
        <v>226</v>
      </c>
      <c r="F453" s="2" t="s">
        <v>195</v>
      </c>
      <c r="G453" s="2" t="s">
        <v>11</v>
      </c>
    </row>
    <row r="454" spans="1:7" ht="15" customHeight="1">
      <c r="A454" s="2" t="s">
        <v>474</v>
      </c>
      <c r="B454" s="20">
        <v>45744</v>
      </c>
      <c r="C454" s="2" t="s">
        <v>475</v>
      </c>
      <c r="D454" s="2" t="s">
        <v>9</v>
      </c>
      <c r="E454" s="2" t="s">
        <v>59</v>
      </c>
      <c r="F454" s="2" t="s">
        <v>20</v>
      </c>
      <c r="G454" s="2">
        <v>0</v>
      </c>
    </row>
    <row r="455" spans="1:7" ht="15" customHeight="1">
      <c r="A455" s="2" t="s">
        <v>516</v>
      </c>
      <c r="B455" s="20">
        <v>45744</v>
      </c>
      <c r="C455" s="2" t="s">
        <v>510</v>
      </c>
      <c r="D455" s="2" t="s">
        <v>42</v>
      </c>
      <c r="E455" s="2" t="s">
        <v>89</v>
      </c>
      <c r="F455" s="2" t="s">
        <v>113</v>
      </c>
      <c r="G455" s="2" t="s">
        <v>21</v>
      </c>
    </row>
    <row r="456" spans="1:7" ht="15" customHeight="1">
      <c r="A456" s="2" t="s">
        <v>588</v>
      </c>
      <c r="B456" s="20">
        <v>45744</v>
      </c>
      <c r="C456" s="2" t="s">
        <v>586</v>
      </c>
      <c r="D456" s="2" t="s">
        <v>42</v>
      </c>
      <c r="E456" s="2" t="s">
        <v>136</v>
      </c>
      <c r="F456" s="2" t="s">
        <v>37</v>
      </c>
      <c r="G456" s="2" t="s">
        <v>21</v>
      </c>
    </row>
    <row r="457" spans="1:7" ht="15" customHeight="1">
      <c r="A457" s="2" t="s">
        <v>606</v>
      </c>
      <c r="B457" s="20">
        <v>45744</v>
      </c>
      <c r="C457" s="2" t="s">
        <v>598</v>
      </c>
      <c r="D457" s="2" t="s">
        <v>9</v>
      </c>
      <c r="E457" s="2" t="s">
        <v>19</v>
      </c>
      <c r="F457" s="2" t="s">
        <v>14</v>
      </c>
      <c r="G457" s="2" t="s">
        <v>21</v>
      </c>
    </row>
    <row r="458" spans="1:7" ht="15" customHeight="1">
      <c r="A458" s="2" t="s">
        <v>38</v>
      </c>
      <c r="B458" s="20">
        <v>45745</v>
      </c>
      <c r="C458" s="2" t="s">
        <v>39</v>
      </c>
      <c r="D458" s="2" t="s">
        <v>26</v>
      </c>
      <c r="E458" s="2"/>
      <c r="F458" s="2"/>
      <c r="G458" s="2" t="s">
        <v>11</v>
      </c>
    </row>
    <row r="459" spans="1:7" ht="15" customHeight="1">
      <c r="A459" s="2" t="s">
        <v>167</v>
      </c>
      <c r="B459" s="20">
        <v>45745</v>
      </c>
      <c r="C459" s="2" t="s">
        <v>157</v>
      </c>
      <c r="D459" s="2" t="s">
        <v>9</v>
      </c>
      <c r="E459" s="2" t="s">
        <v>34</v>
      </c>
      <c r="F459" s="2" t="s">
        <v>168</v>
      </c>
      <c r="G459" s="2" t="s">
        <v>21</v>
      </c>
    </row>
    <row r="460" spans="1:7" ht="15" customHeight="1">
      <c r="A460" s="2" t="s">
        <v>232</v>
      </c>
      <c r="B460" s="20">
        <v>45745</v>
      </c>
      <c r="C460" s="2" t="s">
        <v>230</v>
      </c>
      <c r="D460" s="2" t="s">
        <v>9</v>
      </c>
      <c r="E460" s="2" t="s">
        <v>80</v>
      </c>
      <c r="F460" s="2" t="s">
        <v>165</v>
      </c>
      <c r="G460" s="2" t="s">
        <v>21</v>
      </c>
    </row>
    <row r="461" spans="1:7" ht="15" customHeight="1">
      <c r="A461" s="2" t="s">
        <v>277</v>
      </c>
      <c r="B461" s="20">
        <v>45745</v>
      </c>
      <c r="C461" s="2" t="s">
        <v>275</v>
      </c>
      <c r="D461" s="2" t="s">
        <v>26</v>
      </c>
      <c r="E461" s="2"/>
      <c r="F461" s="2"/>
      <c r="G461" s="2" t="s">
        <v>11</v>
      </c>
    </row>
    <row r="462" spans="1:7" ht="15" customHeight="1">
      <c r="A462" s="2" t="s">
        <v>391</v>
      </c>
      <c r="B462" s="20">
        <v>45745</v>
      </c>
      <c r="C462" s="2" t="s">
        <v>386</v>
      </c>
      <c r="D462" s="2" t="s">
        <v>9</v>
      </c>
      <c r="E462" s="2" t="s">
        <v>61</v>
      </c>
      <c r="F462" s="2" t="s">
        <v>14</v>
      </c>
      <c r="G462" s="2" t="s">
        <v>21</v>
      </c>
    </row>
    <row r="463" spans="1:7" ht="15" customHeight="1">
      <c r="A463" s="2" t="s">
        <v>425</v>
      </c>
      <c r="B463" s="20">
        <v>45745</v>
      </c>
      <c r="C463" s="2" t="s">
        <v>419</v>
      </c>
      <c r="D463" s="2" t="s">
        <v>9</v>
      </c>
      <c r="E463" s="2" t="s">
        <v>108</v>
      </c>
      <c r="F463" s="2" t="s">
        <v>37</v>
      </c>
      <c r="G463" s="2" t="s">
        <v>11</v>
      </c>
    </row>
    <row r="464" spans="1:7" ht="15" customHeight="1">
      <c r="A464" s="2" t="s">
        <v>436</v>
      </c>
      <c r="B464" s="20">
        <v>45745</v>
      </c>
      <c r="C464" s="2" t="s">
        <v>430</v>
      </c>
      <c r="D464" s="2" t="s">
        <v>9</v>
      </c>
      <c r="E464" s="2" t="s">
        <v>31</v>
      </c>
      <c r="F464" s="2" t="s">
        <v>165</v>
      </c>
      <c r="G464" s="2" t="s">
        <v>21</v>
      </c>
    </row>
    <row r="465" spans="1:7" ht="15" customHeight="1">
      <c r="A465" s="2" t="s">
        <v>470</v>
      </c>
      <c r="B465" s="20">
        <v>45745</v>
      </c>
      <c r="C465" s="2" t="s">
        <v>464</v>
      </c>
      <c r="D465" s="2" t="s">
        <v>9</v>
      </c>
      <c r="E465" s="2" t="s">
        <v>105</v>
      </c>
      <c r="F465" s="2" t="s">
        <v>165</v>
      </c>
      <c r="G465" s="2" t="s">
        <v>21</v>
      </c>
    </row>
    <row r="466" spans="1:7" ht="15" customHeight="1">
      <c r="A466" s="2" t="s">
        <v>482</v>
      </c>
      <c r="B466" s="20">
        <v>45745</v>
      </c>
      <c r="C466" s="2" t="s">
        <v>475</v>
      </c>
      <c r="D466" s="2" t="s">
        <v>42</v>
      </c>
      <c r="E466" s="2" t="s">
        <v>89</v>
      </c>
      <c r="F466" s="2" t="s">
        <v>106</v>
      </c>
      <c r="G466" s="2" t="s">
        <v>21</v>
      </c>
    </row>
    <row r="467" spans="1:7" ht="15" customHeight="1">
      <c r="A467" s="2" t="s">
        <v>534</v>
      </c>
      <c r="B467" s="20">
        <v>45745</v>
      </c>
      <c r="C467" s="2" t="s">
        <v>531</v>
      </c>
      <c r="D467" s="2" t="s">
        <v>26</v>
      </c>
      <c r="E467" s="2"/>
      <c r="F467" s="2"/>
      <c r="G467" s="2" t="s">
        <v>11</v>
      </c>
    </row>
    <row r="468" spans="1:7" ht="15" customHeight="1">
      <c r="A468" s="2" t="s">
        <v>625</v>
      </c>
      <c r="B468" s="20">
        <v>45745</v>
      </c>
      <c r="C468" s="2" t="s">
        <v>621</v>
      </c>
      <c r="D468" s="2" t="s">
        <v>9</v>
      </c>
      <c r="E468" s="2" t="s">
        <v>53</v>
      </c>
      <c r="F468" s="2" t="s">
        <v>14</v>
      </c>
      <c r="G468" s="2" t="s">
        <v>11</v>
      </c>
    </row>
    <row r="469" spans="1:7" ht="15" customHeight="1">
      <c r="A469" s="2" t="s">
        <v>73</v>
      </c>
      <c r="B469" s="20">
        <v>45746</v>
      </c>
      <c r="C469" s="2" t="s">
        <v>64</v>
      </c>
      <c r="D469" s="2" t="s">
        <v>26</v>
      </c>
      <c r="E469" s="2"/>
      <c r="F469" s="2"/>
      <c r="G469" s="2" t="s">
        <v>11</v>
      </c>
    </row>
    <row r="470" spans="1:7" ht="15" customHeight="1">
      <c r="A470" s="2" t="s">
        <v>85</v>
      </c>
      <c r="B470" s="20">
        <v>45746</v>
      </c>
      <c r="C470" s="2" t="s">
        <v>83</v>
      </c>
      <c r="D470" s="2" t="s">
        <v>42</v>
      </c>
      <c r="E470" s="2" t="s">
        <v>31</v>
      </c>
      <c r="F470" s="2" t="s">
        <v>86</v>
      </c>
      <c r="G470" s="2" t="s">
        <v>21</v>
      </c>
    </row>
    <row r="471" spans="1:7" ht="15" customHeight="1">
      <c r="A471" s="2" t="s">
        <v>200</v>
      </c>
      <c r="B471" s="20">
        <v>45746</v>
      </c>
      <c r="C471" s="2" t="s">
        <v>194</v>
      </c>
      <c r="D471" s="2" t="s">
        <v>9</v>
      </c>
      <c r="E471" s="2" t="s">
        <v>34</v>
      </c>
      <c r="F471" s="2" t="s">
        <v>14</v>
      </c>
      <c r="G471" s="2" t="s">
        <v>21</v>
      </c>
    </row>
    <row r="472" spans="1:7" ht="15" customHeight="1">
      <c r="A472" s="2" t="s">
        <v>216</v>
      </c>
      <c r="B472" s="20">
        <v>45746</v>
      </c>
      <c r="C472" s="2" t="s">
        <v>206</v>
      </c>
      <c r="D472" s="2" t="s">
        <v>42</v>
      </c>
      <c r="E472" s="2" t="s">
        <v>50</v>
      </c>
      <c r="F472" s="2" t="s">
        <v>101</v>
      </c>
      <c r="G472" s="2" t="s">
        <v>21</v>
      </c>
    </row>
    <row r="473" spans="1:7" ht="15" customHeight="1">
      <c r="A473" s="2" t="s">
        <v>283</v>
      </c>
      <c r="B473" s="20">
        <v>45746</v>
      </c>
      <c r="C473" s="2" t="s">
        <v>275</v>
      </c>
      <c r="D473" s="2" t="s">
        <v>26</v>
      </c>
      <c r="E473" s="2"/>
      <c r="F473" s="2"/>
      <c r="G473" s="2" t="s">
        <v>11</v>
      </c>
    </row>
    <row r="474" spans="1:7" ht="15" customHeight="1">
      <c r="A474" s="2" t="s">
        <v>527</v>
      </c>
      <c r="B474" s="20">
        <v>45746</v>
      </c>
      <c r="C474" s="2" t="s">
        <v>521</v>
      </c>
      <c r="D474" s="2" t="s">
        <v>9</v>
      </c>
      <c r="E474" s="2" t="s">
        <v>53</v>
      </c>
      <c r="F474" s="2" t="s">
        <v>101</v>
      </c>
      <c r="G474" s="2" t="s">
        <v>11</v>
      </c>
    </row>
    <row r="475" spans="1:7" ht="15" customHeight="1">
      <c r="A475" s="2" t="s">
        <v>549</v>
      </c>
      <c r="B475" s="20">
        <v>45746</v>
      </c>
      <c r="C475" s="2" t="s">
        <v>541</v>
      </c>
      <c r="D475" s="2" t="s">
        <v>9</v>
      </c>
      <c r="E475" s="2" t="s">
        <v>28</v>
      </c>
      <c r="F475" s="2" t="s">
        <v>195</v>
      </c>
      <c r="G475" s="2" t="s">
        <v>21</v>
      </c>
    </row>
    <row r="476" spans="1:7" ht="15" customHeight="1">
      <c r="A476" s="2" t="s">
        <v>619</v>
      </c>
      <c r="B476" s="20">
        <v>45746</v>
      </c>
      <c r="C476" s="2" t="s">
        <v>609</v>
      </c>
      <c r="D476" s="2" t="s">
        <v>9</v>
      </c>
      <c r="E476" s="2" t="s">
        <v>115</v>
      </c>
      <c r="F476" s="2" t="s">
        <v>20</v>
      </c>
      <c r="G476" s="2" t="s">
        <v>21</v>
      </c>
    </row>
    <row r="477" spans="1:7" ht="15" customHeight="1">
      <c r="A477" s="2" t="s">
        <v>620</v>
      </c>
      <c r="B477" s="20">
        <v>45746</v>
      </c>
      <c r="C477" s="2" t="s">
        <v>621</v>
      </c>
      <c r="D477" s="2" t="s">
        <v>26</v>
      </c>
      <c r="E477" s="2"/>
      <c r="F477" s="2"/>
      <c r="G477" s="2" t="s">
        <v>11</v>
      </c>
    </row>
  </sheetData>
  <phoneticPr fontId="7" type="noConversion"/>
  <conditionalFormatting sqref="A2:A477">
    <cfRule type="duplicateValues" dxfId="3" priority="73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C40D3-9BCD-421E-8322-972267EA6E71}">
  <dimension ref="A1:K28"/>
  <sheetViews>
    <sheetView workbookViewId="0">
      <selection activeCell="C24" sqref="C24"/>
    </sheetView>
  </sheetViews>
  <sheetFormatPr defaultRowHeight="13.8"/>
  <cols>
    <col min="1" max="1" width="42.3984375" bestFit="1" customWidth="1"/>
    <col min="2" max="2" width="27.796875" bestFit="1" customWidth="1"/>
    <col min="3" max="3" width="27.19921875" customWidth="1"/>
    <col min="4" max="4" width="9.5" bestFit="1" customWidth="1"/>
    <col min="5" max="5" width="18.796875" bestFit="1" customWidth="1"/>
    <col min="6" max="6" width="16.09765625" bestFit="1" customWidth="1"/>
    <col min="7" max="7" width="10.796875" customWidth="1"/>
    <col min="8" max="8" width="69.3984375" customWidth="1"/>
    <col min="9" max="9" width="93.19921875" customWidth="1"/>
    <col min="10" max="10" width="18.69921875" bestFit="1" customWidth="1"/>
    <col min="11" max="11" width="10.3984375" bestFit="1" customWidth="1"/>
  </cols>
  <sheetData>
    <row r="1" spans="1:11">
      <c r="A1" s="9" t="s">
        <v>661</v>
      </c>
      <c r="B1" s="9" t="s">
        <v>662</v>
      </c>
      <c r="E1" s="4" t="s">
        <v>679</v>
      </c>
      <c r="F1" s="4" t="s">
        <v>661</v>
      </c>
      <c r="G1" s="5" t="s">
        <v>635</v>
      </c>
      <c r="H1" s="4" t="s">
        <v>680</v>
      </c>
      <c r="I1" s="4" t="s">
        <v>681</v>
      </c>
      <c r="J1" s="4" t="s">
        <v>682</v>
      </c>
      <c r="K1" s="4" t="s">
        <v>658</v>
      </c>
    </row>
    <row r="2" spans="1:11" ht="28.8">
      <c r="A2" s="10" t="s">
        <v>0</v>
      </c>
      <c r="B2" s="10" t="s">
        <v>663</v>
      </c>
      <c r="E2" s="18" t="s">
        <v>683</v>
      </c>
      <c r="F2" s="18" t="s">
        <v>0</v>
      </c>
      <c r="G2" s="17" t="s">
        <v>684</v>
      </c>
      <c r="H2" s="18" t="s">
        <v>685</v>
      </c>
      <c r="I2" s="18" t="s">
        <v>686</v>
      </c>
      <c r="J2" s="18" t="s">
        <v>687</v>
      </c>
      <c r="K2" s="18" t="s">
        <v>677</v>
      </c>
    </row>
    <row r="3" spans="1:11" ht="43.8">
      <c r="A3" s="10" t="s">
        <v>1</v>
      </c>
      <c r="B3" s="10" t="s">
        <v>664</v>
      </c>
      <c r="E3" s="18" t="s">
        <v>690</v>
      </c>
      <c r="F3" s="18" t="s">
        <v>2</v>
      </c>
      <c r="G3" s="17">
        <v>1</v>
      </c>
      <c r="H3" s="18" t="s">
        <v>691</v>
      </c>
      <c r="I3" s="18" t="s">
        <v>692</v>
      </c>
      <c r="J3" s="18" t="s">
        <v>693</v>
      </c>
      <c r="K3" s="18" t="s">
        <v>677</v>
      </c>
    </row>
    <row r="4" spans="1:11" ht="30">
      <c r="A4" s="10" t="s">
        <v>2</v>
      </c>
      <c r="B4" s="10" t="s">
        <v>665</v>
      </c>
      <c r="E4" s="18" t="s">
        <v>694</v>
      </c>
      <c r="F4" s="18" t="s">
        <v>3</v>
      </c>
      <c r="G4" s="22" t="s">
        <v>695</v>
      </c>
      <c r="H4" s="18" t="s">
        <v>696</v>
      </c>
      <c r="I4" s="18" t="s">
        <v>697</v>
      </c>
      <c r="J4" s="18" t="s">
        <v>698</v>
      </c>
      <c r="K4" s="18" t="s">
        <v>677</v>
      </c>
    </row>
    <row r="5" spans="1:11" ht="30">
      <c r="A5" s="10" t="s">
        <v>3</v>
      </c>
      <c r="B5" s="10" t="s">
        <v>666</v>
      </c>
      <c r="E5" s="18" t="s">
        <v>699</v>
      </c>
      <c r="F5" s="18" t="s">
        <v>3</v>
      </c>
      <c r="G5" s="22" t="s">
        <v>695</v>
      </c>
      <c r="H5" s="18" t="s">
        <v>700</v>
      </c>
      <c r="I5" s="18" t="s">
        <v>701</v>
      </c>
      <c r="J5" s="18" t="s">
        <v>698</v>
      </c>
      <c r="K5" s="18" t="s">
        <v>677</v>
      </c>
    </row>
    <row r="6" spans="1:11" ht="27.6">
      <c r="A6" s="10" t="s">
        <v>4</v>
      </c>
      <c r="B6" s="10" t="s">
        <v>667</v>
      </c>
      <c r="E6" s="18" t="s">
        <v>702</v>
      </c>
      <c r="F6" s="18" t="s">
        <v>703</v>
      </c>
      <c r="G6" s="22" t="s">
        <v>695</v>
      </c>
      <c r="H6" s="18" t="s">
        <v>704</v>
      </c>
      <c r="I6" s="18" t="s">
        <v>705</v>
      </c>
      <c r="J6" s="18" t="s">
        <v>706</v>
      </c>
      <c r="K6" s="18" t="s">
        <v>677</v>
      </c>
    </row>
    <row r="7" spans="1:11" ht="27.6">
      <c r="A7" s="10" t="s">
        <v>5</v>
      </c>
      <c r="B7" s="10" t="s">
        <v>667</v>
      </c>
      <c r="E7" s="18" t="s">
        <v>707</v>
      </c>
      <c r="F7" s="18" t="s">
        <v>1</v>
      </c>
      <c r="G7" s="22" t="s">
        <v>695</v>
      </c>
      <c r="H7" s="18" t="s">
        <v>708</v>
      </c>
      <c r="I7" s="18" t="s">
        <v>709</v>
      </c>
      <c r="J7" s="18" t="s">
        <v>698</v>
      </c>
      <c r="K7" s="18" t="s">
        <v>677</v>
      </c>
    </row>
    <row r="8" spans="1:11">
      <c r="A8" s="10" t="s">
        <v>5</v>
      </c>
      <c r="B8" s="10" t="s">
        <v>668</v>
      </c>
    </row>
    <row r="9" spans="1:11">
      <c r="A9" s="10" t="s">
        <v>70</v>
      </c>
      <c r="B9" s="10" t="s">
        <v>669</v>
      </c>
    </row>
    <row r="10" spans="1:11">
      <c r="A10" s="10" t="s">
        <v>670</v>
      </c>
      <c r="B10" s="10" t="s">
        <v>669</v>
      </c>
    </row>
    <row r="11" spans="1:11">
      <c r="A11" s="10" t="s">
        <v>6</v>
      </c>
      <c r="B11" s="10" t="s">
        <v>671</v>
      </c>
    </row>
    <row r="14" spans="1:11">
      <c r="A14" s="4" t="s">
        <v>633</v>
      </c>
      <c r="B14" s="4" t="s">
        <v>634</v>
      </c>
      <c r="C14" s="5" t="s">
        <v>635</v>
      </c>
      <c r="D14" t="s">
        <v>658</v>
      </c>
    </row>
    <row r="15" spans="1:11">
      <c r="A15" s="6" t="s">
        <v>638</v>
      </c>
      <c r="B15" s="6" t="s">
        <v>639</v>
      </c>
      <c r="C15" s="7">
        <v>256</v>
      </c>
      <c r="D15" s="16" t="s">
        <v>677</v>
      </c>
    </row>
    <row r="16" spans="1:11">
      <c r="A16" s="6" t="s">
        <v>640</v>
      </c>
      <c r="B16" s="6" t="s">
        <v>641</v>
      </c>
      <c r="C16" s="7">
        <v>3</v>
      </c>
      <c r="D16" s="16" t="s">
        <v>677</v>
      </c>
    </row>
    <row r="17" spans="1:4">
      <c r="A17" s="6" t="s">
        <v>644</v>
      </c>
      <c r="B17" s="6" t="s">
        <v>645</v>
      </c>
      <c r="C17" s="7" t="s">
        <v>674</v>
      </c>
      <c r="D17" s="16" t="s">
        <v>677</v>
      </c>
    </row>
    <row r="18" spans="1:4">
      <c r="A18" s="6" t="s">
        <v>646</v>
      </c>
      <c r="B18" s="6" t="s">
        <v>647</v>
      </c>
      <c r="C18" s="7" t="s">
        <v>21</v>
      </c>
      <c r="D18" s="16" t="s">
        <v>677</v>
      </c>
    </row>
    <row r="19" spans="1:4">
      <c r="A19" s="6" t="s">
        <v>651</v>
      </c>
      <c r="B19" s="6" t="s">
        <v>652</v>
      </c>
      <c r="C19" s="7" t="s">
        <v>676</v>
      </c>
      <c r="D19" s="16" t="s">
        <v>677</v>
      </c>
    </row>
    <row r="20" spans="1:4">
      <c r="A20" s="6" t="s">
        <v>653</v>
      </c>
      <c r="B20" s="6" t="s">
        <v>652</v>
      </c>
      <c r="C20" s="7" t="s">
        <v>21</v>
      </c>
      <c r="D20" s="16" t="s">
        <v>677</v>
      </c>
    </row>
    <row r="21" spans="1:4">
      <c r="A21" s="6" t="s">
        <v>657</v>
      </c>
      <c r="B21" s="6" t="s">
        <v>649</v>
      </c>
      <c r="C21" s="7" t="s">
        <v>21</v>
      </c>
      <c r="D21" s="16" t="s">
        <v>677</v>
      </c>
    </row>
    <row r="22" spans="1:4">
      <c r="A22" s="6" t="s">
        <v>636</v>
      </c>
      <c r="B22" s="6" t="s">
        <v>637</v>
      </c>
      <c r="C22" s="7" t="s">
        <v>659</v>
      </c>
      <c r="D22" s="16" t="s">
        <v>678</v>
      </c>
    </row>
    <row r="23" spans="1:4">
      <c r="A23" s="6" t="s">
        <v>642</v>
      </c>
      <c r="B23" s="6" t="s">
        <v>643</v>
      </c>
      <c r="C23" s="7" t="s">
        <v>11</v>
      </c>
      <c r="D23" s="16" t="s">
        <v>678</v>
      </c>
    </row>
    <row r="24" spans="1:4">
      <c r="A24" s="6" t="s">
        <v>648</v>
      </c>
      <c r="B24" s="6" t="s">
        <v>649</v>
      </c>
      <c r="C24" s="7" t="s">
        <v>11</v>
      </c>
      <c r="D24" s="16" t="s">
        <v>678</v>
      </c>
    </row>
    <row r="25" spans="1:4">
      <c r="A25" s="6" t="s">
        <v>650</v>
      </c>
      <c r="B25" s="6" t="s">
        <v>649</v>
      </c>
      <c r="C25" s="7" t="s">
        <v>11</v>
      </c>
      <c r="D25" s="16" t="s">
        <v>678</v>
      </c>
    </row>
    <row r="26" spans="1:4">
      <c r="A26" s="6" t="s">
        <v>654</v>
      </c>
      <c r="B26" s="6" t="s">
        <v>652</v>
      </c>
      <c r="C26" s="7" t="s">
        <v>11</v>
      </c>
      <c r="D26" s="16" t="s">
        <v>678</v>
      </c>
    </row>
    <row r="27" spans="1:4">
      <c r="A27" s="6" t="s">
        <v>655</v>
      </c>
      <c r="B27" s="6" t="s">
        <v>652</v>
      </c>
      <c r="C27" s="7" t="s">
        <v>11</v>
      </c>
      <c r="D27" s="16" t="s">
        <v>678</v>
      </c>
    </row>
    <row r="28" spans="1:4">
      <c r="A28" s="6" t="s">
        <v>656</v>
      </c>
      <c r="B28" s="6" t="s">
        <v>649</v>
      </c>
      <c r="C28" s="7" t="s">
        <v>11</v>
      </c>
      <c r="D28" s="16" t="s">
        <v>678</v>
      </c>
    </row>
  </sheetData>
  <conditionalFormatting sqref="D15:D28">
    <cfRule type="cellIs" dxfId="2" priority="1" operator="equal">
      <formula>"No Action"</formula>
    </cfRule>
    <cfRule type="cellIs" dxfId="1" priority="2" operator="equal">
      <formula>"Pending"</formula>
    </cfRule>
    <cfRule type="cellIs" dxfId="0" priority="3" operator="equal">
      <formula>"Completed"</formula>
    </cfRule>
  </conditionalFormatting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Raw_Attendance</vt:lpstr>
      <vt:lpstr>Attendance</vt:lpstr>
      <vt:lpstr>Data Profiling 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Vinoth G R</dc:creator>
  <cp:lastModifiedBy>Vinoth G R</cp:lastModifiedBy>
  <dcterms:created xsi:type="dcterms:W3CDTF">2026-09-06T16:10:54Z</dcterms:created>
  <dcterms:modified xsi:type="dcterms:W3CDTF">2026-09-06T19:02:13Z</dcterms:modified>
</cp:coreProperties>
</file>