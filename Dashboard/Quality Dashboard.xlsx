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1"/>
  <workbookPr hidePivotFieldList="1" defaultThemeVersion="202300"/>
  <mc:AlternateContent xmlns:mc="http://schemas.openxmlformats.org/markup-compatibility/2006">
    <mc:Choice Requires="x15">
      <x15ac:absPath xmlns:x15ac="http://schemas.microsoft.com/office/spreadsheetml/2010/11/ac" url="D:\Portfolio\End-to-End Analytics\Banking MIS Dashboard\Excel\"/>
    </mc:Choice>
  </mc:AlternateContent>
  <xr:revisionPtr revIDLastSave="0" documentId="13_ncr:1_{0E18375E-3FC6-44F2-B976-8538321435B2}" xr6:coauthVersionLast="47" xr6:coauthVersionMax="47" xr10:uidLastSave="{00000000-0000-0000-0000-000000000000}"/>
  <bookViews>
    <workbookView xWindow="-108" yWindow="-108" windowWidth="23256" windowHeight="12456" firstSheet="1" activeTab="1" xr2:uid="{D0687735-B817-4BFD-8572-06BCAC66F7F5}"/>
  </bookViews>
  <sheets>
    <sheet name="QC_Audit" sheetId="2" state="hidden" r:id="rId1"/>
    <sheet name="Dashboard" sheetId="4" r:id="rId2"/>
  </sheets>
  <definedNames>
    <definedName name="ExternalData_2" localSheetId="0" hidden="1">QC_Audit!$A$1:$N$149</definedName>
    <definedName name="Slicer_Employee_Name">#N/A</definedName>
    <definedName name="Slicer_Month_Name">#N/A</definedName>
    <definedName name="Slicer_Process">#N/A</definedName>
  </definedNames>
  <calcPr calcId="191029"/>
  <pivotCaches>
    <pivotCache cacheId="1799" r:id="rId3"/>
    <pivotCache cacheId="1802" r:id="rId4"/>
    <pivotCache cacheId="1805" r:id="rId5"/>
    <pivotCache cacheId="1808" r:id="rId6"/>
    <pivotCache cacheId="1811" r:id="rId7"/>
    <pivotCache cacheId="1814" r:id="rId8"/>
    <pivotCache cacheId="1817" r:id="rId9"/>
    <pivotCache cacheId="1820" r:id="rId10"/>
    <pivotCache cacheId="1823" r:id="rId11"/>
  </pivotCaches>
  <extLst>
    <ext xmlns:x14="http://schemas.microsoft.com/office/spreadsheetml/2009/9/main" uri="{876F7934-8845-4945-9796-88D515C7AA90}">
      <x14:pivotCaches>
        <pivotCache cacheId="1100" r:id="rId12"/>
      </x14:pivotCaches>
    </ex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lean_QC_Audit_ce6599f5-0e76-4435-8847-b7e5216d12bc" name="Clean_QC_Audit" connection="Query - Clean_QC_Audit"/>
          <x15:modelTable id="Attendance1_d689eb8d-d58b-431a-aeb7-0f406e67c844" name="Attendance1" connection="Query - Attendance1"/>
          <x15:modelTable id="Employee_Master_4a664220-ffe3-4a4b-8b0d-4cc6cb0848c8" name="Employee_Master" connection="Query - Employee_Master"/>
        </x15:modelTables>
        <x15:modelRelationships>
          <x15:modelRelationship fromTable="Clean_QC_Audit" fromColumn="Employee_ID" toTable="Employee_Master" toColumn="Employee_ID"/>
        </x15:modelRelationships>
        <x15:extLst>
          <ext xmlns:x16="http://schemas.microsoft.com/office/spreadsheetml/2014/11/main" uri="{9835A34E-60A6-4A7C-AAB8-D5F71C897F49}">
            <x16:modelTimeGroupings>
              <x16:modelTimeGrouping tableName="Clean_QC_Audit" columnName="Audit_Date" columnId="Audit_Date">
                <x16:calculatedTimeColumn columnName="Audit_Date (Month Index)" columnId="Audit_Date (Month Index)" contentType="monthsindex" isSelected="1"/>
                <x16:calculatedTimeColumn columnName="Audit_Date (Month)" columnId="Audit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3" i="4" l="1"/>
  <c r="K3" i="4"/>
  <c r="L6" i="4" l="1"/>
  <c r="L5"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8C40AB1-C441-4BCC-A5FF-9C75DB0E9A96}" keepAlive="1" name="ModelConnection_ExternalData_2" description="Data Model" type="5" refreshedVersion="8" minRefreshableVersion="5" saveData="1">
    <dbPr connection="Data Model Connection" command="Clean_QC_Audit" commandType="3"/>
    <extLst>
      <ext xmlns:x15="http://schemas.microsoft.com/office/spreadsheetml/2010/11/main" uri="{DE250136-89BD-433C-8126-D09CA5730AF9}">
        <x15:connection id="" model="1"/>
      </ext>
    </extLst>
  </connection>
  <connection id="2" xr16:uid="{B9BF6C76-6433-403A-B7DF-8419C8FD7539}" name="Query - Attendance1" description="Connection to the 'Attendance1' query in the workbook." type="100" refreshedVersion="8" minRefreshableVersion="5">
    <extLst>
      <ext xmlns:x15="http://schemas.microsoft.com/office/spreadsheetml/2010/11/main" uri="{DE250136-89BD-433C-8126-D09CA5730AF9}">
        <x15:connection id="79357127-56ba-4e62-9dee-61c0eee3ede2">
          <x15:oledbPr connection="Provider=Microsoft.Mashup.OleDb.1;Data Source=$Workbook$;Location=Attendance1;Extended Properties=&quot;&quot;">
            <x15:dbTables>
              <x15:dbTable name="Attendance1"/>
            </x15:dbTables>
          </x15:oledbPr>
        </x15:connection>
      </ext>
    </extLst>
  </connection>
  <connection id="3" xr16:uid="{ADEBD54D-A12C-44E5-A30F-545736F18A05}" name="Query - Clean_QC_Audit" description="Connection to the 'Clean_QC_Audit' query in the workbook." type="100" refreshedVersion="8" minRefreshableVersion="5">
    <extLst>
      <ext xmlns:x15="http://schemas.microsoft.com/office/spreadsheetml/2010/11/main" uri="{DE250136-89BD-433C-8126-D09CA5730AF9}">
        <x15:connection id="3a46fce3-8f92-4e30-bafb-c2d5e9f6399b"/>
      </ext>
    </extLst>
  </connection>
  <connection id="4" xr16:uid="{4084D8EC-F11A-485A-B0FA-1F01912899B7}" name="Query - Employee_Master" description="Connection to the 'Employee_Master' query in the workbook." type="100" refreshedVersion="8" minRefreshableVersion="5">
    <extLst>
      <ext xmlns:x15="http://schemas.microsoft.com/office/spreadsheetml/2010/11/main" uri="{DE250136-89BD-433C-8126-D09CA5730AF9}">
        <x15:connection id="bcdcb573-78fd-4d7a-9348-0b241df780a3">
          <x15:oledbPr connection="Provider=Microsoft.Mashup.OleDb.1;Data Source=$Workbook$;Location=Employee_Master;Extended Properties=&quot;&quot;">
            <x15:dbTables>
              <x15:dbTable name="Employee_Master"/>
            </x15:dbTables>
          </x15:oledbPr>
        </x15:connection>
      </ext>
    </extLst>
  </connection>
  <connection id="5" xr16:uid="{47CF456A-93B5-4C27-AE39-E2E87E9C6176}"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6" xr16:uid="{B5768FE0-8281-4BA5-99CC-A311E438BE29}"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7" xr16:uid="{F297AA2A-670C-41F7-AFE5-37C49ECCBEA8}"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8" xr16:uid="{103037D2-B434-4E08-8E36-D77426E97875}"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9" xr16:uid="{B3BF1F9E-ADD8-479B-AED1-23B475DFB95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Employee_Master].[Employee_Name - Copy].[All]}"/>
  </metadataStrings>
  <mdxMetadata count="1">
    <mdx n="0" f="s">
      <ms ns="1" c="0"/>
    </mdx>
  </mdxMetadata>
  <valueMetadata count="1">
    <bk>
      <rc t="1" v="0"/>
    </bk>
  </valueMetadata>
</metadata>
</file>

<file path=xl/sharedStrings.xml><?xml version="1.0" encoding="utf-8"?>
<sst xmlns="http://schemas.openxmlformats.org/spreadsheetml/2006/main" count="934" uniqueCount="248">
  <si>
    <t>Audit_ID</t>
  </si>
  <si>
    <t>Audit_Date</t>
  </si>
  <si>
    <t>Employee_ID</t>
  </si>
  <si>
    <t>Cases_Audited</t>
  </si>
  <si>
    <t>Audit_Score</t>
  </si>
  <si>
    <t>Critical_Errors</t>
  </si>
  <si>
    <t>Major_Errors</t>
  </si>
  <si>
    <t>Minor_Errors</t>
  </si>
  <si>
    <t>Auditor</t>
  </si>
  <si>
    <t>AUD0123</t>
  </si>
  <si>
    <t>EMP1001</t>
  </si>
  <si>
    <t>Leena Nair</t>
  </si>
  <si>
    <t>AUD0073</t>
  </si>
  <si>
    <t>Kunal Bhardwaj</t>
  </si>
  <si>
    <t>AUD0023</t>
  </si>
  <si>
    <t>Ritu Malhotra</t>
  </si>
  <si>
    <t>AUD0140</t>
  </si>
  <si>
    <t>EMP1002</t>
  </si>
  <si>
    <t>AUD0090</t>
  </si>
  <si>
    <t>AUD0040</t>
  </si>
  <si>
    <t>AUD0057</t>
  </si>
  <si>
    <t>EMP1003</t>
  </si>
  <si>
    <t>Saurabh Kulkarni</t>
  </si>
  <si>
    <t>AUD0007</t>
  </si>
  <si>
    <t>AUD0107</t>
  </si>
  <si>
    <t>AUD0074</t>
  </si>
  <si>
    <t>EMP1004</t>
  </si>
  <si>
    <t>AUD0024</t>
  </si>
  <si>
    <t>Vivek Menon</t>
  </si>
  <si>
    <t>AUD0124</t>
  </si>
  <si>
    <t>AUD0091</t>
  </si>
  <si>
    <t>EMP1005</t>
  </si>
  <si>
    <t>AUD0141</t>
  </si>
  <si>
    <t>AUD0041</t>
  </si>
  <si>
    <t>Nivedita Rao</t>
  </si>
  <si>
    <t>AUD0108</t>
  </si>
  <si>
    <t>EMP1006</t>
  </si>
  <si>
    <t>AUD0058</t>
  </si>
  <si>
    <t>AUD0008</t>
  </si>
  <si>
    <t>AUD0075</t>
  </si>
  <si>
    <t>EMP1007</t>
  </si>
  <si>
    <t>AUD0125</t>
  </si>
  <si>
    <t>AUD0025</t>
  </si>
  <si>
    <t>Arunima Sethi</t>
  </si>
  <si>
    <t>AUD0142</t>
  </si>
  <si>
    <t>EMP1008</t>
  </si>
  <si>
    <t>Shalini Iyer</t>
  </si>
  <si>
    <t>AUD0092</t>
  </si>
  <si>
    <t>AUD0042</t>
  </si>
  <si>
    <t>AUD0009</t>
  </si>
  <si>
    <t>EMP1009</t>
  </si>
  <si>
    <t>AUD0109</t>
  </si>
  <si>
    <t>AUD0059</t>
  </si>
  <si>
    <t>AUD0126</t>
  </si>
  <si>
    <t>EMP1010</t>
  </si>
  <si>
    <t>AUD0076</t>
  </si>
  <si>
    <t>AUD0026</t>
  </si>
  <si>
    <t>AUD0093</t>
  </si>
  <si>
    <t>EMP1011</t>
  </si>
  <si>
    <t>AUD0143</t>
  </si>
  <si>
    <t>AUD0043</t>
  </si>
  <si>
    <t>AUD0060</t>
  </si>
  <si>
    <t>EMP1012</t>
  </si>
  <si>
    <t>AUD0110</t>
  </si>
  <si>
    <t>AUD0010</t>
  </si>
  <si>
    <t>AUD0077</t>
  </si>
  <si>
    <t>EMP1013</t>
  </si>
  <si>
    <t>AUD0027</t>
  </si>
  <si>
    <t>AUD0127</t>
  </si>
  <si>
    <t>AUD0094</t>
  </si>
  <si>
    <t>EMP1014</t>
  </si>
  <si>
    <t>AUD0144</t>
  </si>
  <si>
    <t>AUD0044</t>
  </si>
  <si>
    <t>AUD0061</t>
  </si>
  <si>
    <t>EMP1015</t>
  </si>
  <si>
    <t>AUD0011</t>
  </si>
  <si>
    <t>AUD0111</t>
  </si>
  <si>
    <t>AUD0078</t>
  </si>
  <si>
    <t>EMP1016</t>
  </si>
  <si>
    <t>AUD0128</t>
  </si>
  <si>
    <t>AUD0028</t>
  </si>
  <si>
    <t>AUD0095</t>
  </si>
  <si>
    <t>EMP1017</t>
  </si>
  <si>
    <t>AUD0145</t>
  </si>
  <si>
    <t>AUD0045</t>
  </si>
  <si>
    <t>AUD0112</t>
  </si>
  <si>
    <t>EMP1018</t>
  </si>
  <si>
    <t>AUD0012</t>
  </si>
  <si>
    <t>AUD0062</t>
  </si>
  <si>
    <t>AUD0079</t>
  </si>
  <si>
    <t>EMP1019</t>
  </si>
  <si>
    <t>AUD0129</t>
  </si>
  <si>
    <t>AUD0029</t>
  </si>
  <si>
    <t>AUD0096</t>
  </si>
  <si>
    <t>EMP1020</t>
  </si>
  <si>
    <t>AUD0146</t>
  </si>
  <si>
    <t>AUD0046</t>
  </si>
  <si>
    <t>AUD0063</t>
  </si>
  <si>
    <t>EMP1021</t>
  </si>
  <si>
    <t>AUD0113</t>
  </si>
  <si>
    <t>AUD0013</t>
  </si>
  <si>
    <t>AUD0030</t>
  </si>
  <si>
    <t>EMP1022</t>
  </si>
  <si>
    <t>AUD0080</t>
  </si>
  <si>
    <t>AUD0130</t>
  </si>
  <si>
    <t>AUD0147</t>
  </si>
  <si>
    <t>EMP1023</t>
  </si>
  <si>
    <t>AUD0047</t>
  </si>
  <si>
    <t>AUD0097</t>
  </si>
  <si>
    <t>AUD0014</t>
  </si>
  <si>
    <t>EMP1024</t>
  </si>
  <si>
    <t>AUD0064</t>
  </si>
  <si>
    <t>AUD0114</t>
  </si>
  <si>
    <t>AUD0081</t>
  </si>
  <si>
    <t>EMP1025</t>
  </si>
  <si>
    <t>AUD0131</t>
  </si>
  <si>
    <t>AUD0031</t>
  </si>
  <si>
    <t>AUD0098</t>
  </si>
  <si>
    <t>EMP1026</t>
  </si>
  <si>
    <t>AUD0148</t>
  </si>
  <si>
    <t>AUD0048</t>
  </si>
  <si>
    <t>AUD0015</t>
  </si>
  <si>
    <t>EMP1027</t>
  </si>
  <si>
    <t>AUD0065</t>
  </si>
  <si>
    <t>AUD0115</t>
  </si>
  <si>
    <t>AUD0032</t>
  </si>
  <si>
    <t>EMP1028</t>
  </si>
  <si>
    <t>AUD0082</t>
  </si>
  <si>
    <t>AUD0132</t>
  </si>
  <si>
    <t>AUD0049</t>
  </si>
  <si>
    <t>EMP1029</t>
  </si>
  <si>
    <t>AUD0149</t>
  </si>
  <si>
    <t>AUD0099</t>
  </si>
  <si>
    <t>AUD0016</t>
  </si>
  <si>
    <t>EMP1030</t>
  </si>
  <si>
    <t>AUD0066</t>
  </si>
  <si>
    <t>AUD0116</t>
  </si>
  <si>
    <t>AUD0083</t>
  </si>
  <si>
    <t>EMP1031</t>
  </si>
  <si>
    <t>AUD0033</t>
  </si>
  <si>
    <t>AUD0133</t>
  </si>
  <si>
    <t>AUD0100</t>
  </si>
  <si>
    <t>EMP1032</t>
  </si>
  <si>
    <t>AUD0150</t>
  </si>
  <si>
    <t>AUD0050</t>
  </si>
  <si>
    <t>AUD0117</t>
  </si>
  <si>
    <t>EMP1033</t>
  </si>
  <si>
    <t>AUD0017</t>
  </si>
  <si>
    <t>AUD0067</t>
  </si>
  <si>
    <t>AUD0084</t>
  </si>
  <si>
    <t>EMP1034</t>
  </si>
  <si>
    <t>AUD0034</t>
  </si>
  <si>
    <t>AUD0134</t>
  </si>
  <si>
    <t>AUD0053</t>
  </si>
  <si>
    <t>EMP1501</t>
  </si>
  <si>
    <t>AUD0103</t>
  </si>
  <si>
    <t>AUD0070</t>
  </si>
  <si>
    <t>EMP1502</t>
  </si>
  <si>
    <t>AUD0020</t>
  </si>
  <si>
    <t>AUD0120</t>
  </si>
  <si>
    <t>AUD0137</t>
  </si>
  <si>
    <t>EMP1503</t>
  </si>
  <si>
    <t>AUD0037</t>
  </si>
  <si>
    <t>AUD0087</t>
  </si>
  <si>
    <t>AUD0104</t>
  </si>
  <si>
    <t>EMP1504</t>
  </si>
  <si>
    <t>AUD0054</t>
  </si>
  <si>
    <t>AUD0121</t>
  </si>
  <si>
    <t>EMP1505</t>
  </si>
  <si>
    <t>AUD0071</t>
  </si>
  <si>
    <t>AUD0021</t>
  </si>
  <si>
    <t>AUD0038</t>
  </si>
  <si>
    <t>EMP1506</t>
  </si>
  <si>
    <t>AUD0138</t>
  </si>
  <si>
    <t>AUD0088</t>
  </si>
  <si>
    <t>AUD0055</t>
  </si>
  <si>
    <t>EMP1507</t>
  </si>
  <si>
    <t>AUD0004</t>
  </si>
  <si>
    <t>AUD0105</t>
  </si>
  <si>
    <t>AUD0122</t>
  </si>
  <si>
    <t>EMP1508</t>
  </si>
  <si>
    <t>AUD0022</t>
  </si>
  <si>
    <t>AUD0072</t>
  </si>
  <si>
    <t>AUD0089</t>
  </si>
  <si>
    <t>EMP1509</t>
  </si>
  <si>
    <t>AUD0039</t>
  </si>
  <si>
    <t>AUD0139</t>
  </si>
  <si>
    <t>AUD0006</t>
  </si>
  <si>
    <t>EMP1510</t>
  </si>
  <si>
    <t>AUD0056</t>
  </si>
  <si>
    <t>AUD0106</t>
  </si>
  <si>
    <t>AUD0118</t>
  </si>
  <si>
    <t>EMP2001</t>
  </si>
  <si>
    <t>AUD0068</t>
  </si>
  <si>
    <t>AUD0018</t>
  </si>
  <si>
    <t>AUD0135</t>
  </si>
  <si>
    <t>EMP2002</t>
  </si>
  <si>
    <t>AUD0085</t>
  </si>
  <si>
    <t>AUD0035</t>
  </si>
  <si>
    <t>AUD0102</t>
  </si>
  <si>
    <t>EMP2003</t>
  </si>
  <si>
    <t>AUD0052</t>
  </si>
  <si>
    <t>AUD0002</t>
  </si>
  <si>
    <t>AUD0119</t>
  </si>
  <si>
    <t>EMP2004</t>
  </si>
  <si>
    <t>AUD0019</t>
  </si>
  <si>
    <t>AUD0069</t>
  </si>
  <si>
    <t>AUD0036</t>
  </si>
  <si>
    <t>EMP2005</t>
  </si>
  <si>
    <t>AUD0086</t>
  </si>
  <si>
    <t>AUD0136</t>
  </si>
  <si>
    <t>AUD0101</t>
  </si>
  <si>
    <t>EMP3001</t>
  </si>
  <si>
    <t>AUD0051</t>
  </si>
  <si>
    <t>AUD0001</t>
  </si>
  <si>
    <t>Month Name</t>
  </si>
  <si>
    <t>Total Errors</t>
  </si>
  <si>
    <t>Audit Result</t>
  </si>
  <si>
    <t>January</t>
  </si>
  <si>
    <t>Fail</t>
  </si>
  <si>
    <t>Pass</t>
  </si>
  <si>
    <t>February</t>
  </si>
  <si>
    <t>March</t>
  </si>
  <si>
    <t>Grand Total</t>
  </si>
  <si>
    <t>Total Cases_Audited</t>
  </si>
  <si>
    <t>Cases Audited</t>
  </si>
  <si>
    <t>Average Audit_Score</t>
  </si>
  <si>
    <t>Min  Audit_Score</t>
  </si>
  <si>
    <t>Max Audit_Score</t>
  </si>
  <si>
    <t>Audit Results</t>
  </si>
  <si>
    <t>Percentage %</t>
  </si>
  <si>
    <t>Monthly Avg Audit_Score</t>
  </si>
  <si>
    <t>AML</t>
  </si>
  <si>
    <t>Consumer Lending</t>
  </si>
  <si>
    <t>Mortgage</t>
  </si>
  <si>
    <t>Payments</t>
  </si>
  <si>
    <t>WIM</t>
  </si>
  <si>
    <t>All</t>
  </si>
  <si>
    <t>Total Count</t>
  </si>
  <si>
    <t xml:space="preserve">Employee / Process </t>
  </si>
  <si>
    <t>Banking Quality Audit Dashboard</t>
  </si>
  <si>
    <t>Audit_Date (Month Index)</t>
  </si>
  <si>
    <t>Audit_Date (Month)</t>
  </si>
  <si>
    <t>Jan</t>
  </si>
  <si>
    <t>Feb</t>
  </si>
  <si>
    <t>Mar</t>
  </si>
  <si>
    <t>Employee</t>
  </si>
  <si>
    <t>Average of Total Errors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</si>
</sst>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sz val="20"/>
      <color theme="1"/>
      <name val="Aptos Narrow"/>
      <family val="2"/>
      <scheme val="minor"/>
    </font>
    <font>
      <b/>
      <sz val="14"/>
      <color theme="1"/>
      <name val="Aptos Narrow"/>
      <family val="2"/>
      <scheme val="minor"/>
    </font>
    <font>
      <b/>
      <sz val="16"/>
      <color theme="1"/>
      <name val="Aptos Narrow"/>
      <family val="2"/>
      <scheme val="minor"/>
    </font>
    <font>
      <b/>
      <sz val="18"/>
      <color theme="1"/>
      <name val="Aptos Narrow"/>
      <family val="2"/>
      <scheme val="minor"/>
    </font>
    <font>
      <sz val="14"/>
      <color theme="1"/>
      <name val="Aptos Narrow"/>
      <family val="2"/>
      <scheme val="minor"/>
    </font>
    <font>
      <sz val="14"/>
      <color theme="0"/>
      <name val="Aptos Narrow"/>
      <family val="2"/>
      <scheme val="minor"/>
    </font>
    <font>
      <b/>
      <sz val="14"/>
      <color theme="0"/>
      <name val="Aptos Narrow"/>
      <family val="2"/>
      <scheme val="minor"/>
    </font>
    <font>
      <b/>
      <sz val="14"/>
      <name val="Aptos Narrow"/>
      <family val="2"/>
      <scheme val="minor"/>
    </font>
  </fonts>
  <fills count="7">
    <fill>
      <patternFill patternType="none"/>
    </fill>
    <fill>
      <patternFill patternType="gray125"/>
    </fill>
    <fill>
      <patternFill patternType="solid">
        <fgColor theme="4" tint="0.79998168889431442"/>
        <bgColor theme="4" tint="0.79998168889431442"/>
      </patternFill>
    </fill>
    <fill>
      <patternFill patternType="solid">
        <fgColor rgb="FFC00000"/>
        <bgColor indexed="64"/>
      </patternFill>
    </fill>
    <fill>
      <patternFill patternType="solid">
        <fgColor theme="6"/>
        <bgColor indexed="64"/>
      </patternFill>
    </fill>
    <fill>
      <patternFill patternType="solid">
        <fgColor rgb="FFC49500"/>
        <bgColor indexed="64"/>
      </patternFill>
    </fill>
    <fill>
      <patternFill patternType="solid">
        <fgColor theme="2" tint="-0.749992370372631"/>
        <bgColor theme="4" tint="0.79998168889431442"/>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37">
    <xf numFmtId="0" fontId="0" fillId="0" borderId="0" xfId="0"/>
    <xf numFmtId="14" fontId="0" fillId="0" borderId="0" xfId="0" applyNumberFormat="1"/>
    <xf numFmtId="0" fontId="0" fillId="0" borderId="1" xfId="0" applyBorder="1"/>
    <xf numFmtId="0" fontId="0" fillId="0" borderId="1" xfId="0" applyBorder="1" applyAlignment="1">
      <alignment horizontal="center"/>
    </xf>
    <xf numFmtId="0" fontId="0" fillId="0" borderId="1" xfId="0" pivotButton="1" applyBorder="1"/>
    <xf numFmtId="0" fontId="0" fillId="0" borderId="1" xfId="0" applyBorder="1" applyAlignment="1">
      <alignment horizontal="left"/>
    </xf>
    <xf numFmtId="1" fontId="0" fillId="0" borderId="1" xfId="0" applyNumberFormat="1" applyBorder="1" applyAlignment="1">
      <alignment horizontal="center"/>
    </xf>
    <xf numFmtId="1" fontId="3" fillId="0" borderId="0" xfId="0" applyNumberFormat="1" applyFont="1"/>
    <xf numFmtId="0" fontId="0" fillId="0" borderId="0" xfId="0" applyAlignment="1">
      <alignment horizontal="center"/>
    </xf>
    <xf numFmtId="0" fontId="2" fillId="0" borderId="0" xfId="0" applyFont="1"/>
    <xf numFmtId="0" fontId="5" fillId="0" borderId="0" xfId="0" applyFont="1"/>
    <xf numFmtId="0" fontId="0" fillId="0" borderId="0" xfId="0" applyNumberFormat="1"/>
    <xf numFmtId="0" fontId="0" fillId="0" borderId="1" xfId="0" applyNumberFormat="1" applyBorder="1" applyAlignment="1">
      <alignment horizontal="center"/>
    </xf>
    <xf numFmtId="14" fontId="0" fillId="0" borderId="1" xfId="0" applyNumberFormat="1" applyBorder="1" applyAlignment="1">
      <alignment horizontal="left"/>
    </xf>
    <xf numFmtId="0" fontId="8" fillId="0" borderId="1" xfId="0" pivotButton="1" applyFont="1" applyBorder="1" applyAlignment="1">
      <alignment horizontal="center" vertical="center"/>
    </xf>
    <xf numFmtId="0" fontId="6" fillId="0" borderId="1" xfId="0" applyNumberFormat="1" applyFont="1" applyBorder="1" applyAlignment="1">
      <alignment horizontal="center" vertical="center"/>
    </xf>
    <xf numFmtId="2" fontId="6" fillId="0" borderId="1" xfId="0" applyNumberFormat="1" applyFont="1" applyBorder="1" applyAlignment="1">
      <alignment horizontal="center" vertical="center"/>
    </xf>
    <xf numFmtId="0" fontId="6" fillId="0" borderId="0" xfId="0" applyFont="1" applyAlignment="1">
      <alignment vertical="center"/>
    </xf>
    <xf numFmtId="0" fontId="6" fillId="0" borderId="1" xfId="0" applyFont="1" applyBorder="1" applyAlignment="1">
      <alignment horizontal="left" vertical="center"/>
    </xf>
    <xf numFmtId="1" fontId="6" fillId="0" borderId="1" xfId="0" applyNumberFormat="1" applyFont="1" applyBorder="1" applyAlignment="1">
      <alignment horizontal="center" vertical="center"/>
    </xf>
    <xf numFmtId="9" fontId="6" fillId="0" borderId="1" xfId="1" applyFont="1" applyBorder="1" applyAlignment="1">
      <alignment horizontal="center" vertical="center"/>
    </xf>
    <xf numFmtId="1" fontId="7" fillId="0" borderId="2" xfId="0" applyNumberFormat="1" applyFont="1" applyBorder="1" applyAlignment="1">
      <alignment horizontal="center" vertical="center"/>
    </xf>
    <xf numFmtId="1" fontId="7" fillId="0" borderId="3" xfId="0" applyNumberFormat="1" applyFont="1" applyBorder="1" applyAlignment="1">
      <alignment horizontal="center" vertical="center"/>
    </xf>
    <xf numFmtId="1" fontId="7" fillId="0" borderId="4" xfId="0" applyNumberFormat="1" applyFont="1" applyBorder="1" applyAlignment="1">
      <alignment horizontal="center" vertical="center"/>
    </xf>
    <xf numFmtId="0" fontId="7" fillId="0" borderId="1" xfId="0" applyFont="1" applyBorder="1" applyAlignment="1">
      <alignment horizontal="center" vertical="center"/>
    </xf>
    <xf numFmtId="0" fontId="9" fillId="0" borderId="0" xfId="0" applyFont="1" applyBorder="1" applyAlignment="1">
      <alignment horizontal="center" vertical="center"/>
    </xf>
    <xf numFmtId="0" fontId="9" fillId="0" borderId="0" xfId="0" applyFont="1" applyAlignment="1">
      <alignment horizontal="center" vertical="center"/>
    </xf>
    <xf numFmtId="0" fontId="9" fillId="0" borderId="1" xfId="0" applyFont="1" applyBorder="1" applyAlignment="1">
      <alignment horizontal="center" vertical="center"/>
    </xf>
    <xf numFmtId="0" fontId="9" fillId="0" borderId="1" xfId="0" pivotButton="1" applyFont="1" applyBorder="1" applyAlignment="1">
      <alignment horizontal="center" vertical="center"/>
    </xf>
    <xf numFmtId="0" fontId="6" fillId="2" borderId="1" xfId="0" applyFont="1" applyFill="1" applyBorder="1" applyAlignment="1">
      <alignment horizontal="center" vertical="center"/>
    </xf>
    <xf numFmtId="0" fontId="10" fillId="3" borderId="1" xfId="0" applyFont="1" applyFill="1" applyBorder="1" applyAlignment="1">
      <alignment horizontal="center" vertical="center"/>
    </xf>
    <xf numFmtId="0" fontId="10" fillId="4" borderId="1" xfId="0" applyFont="1" applyFill="1" applyBorder="1" applyAlignment="1">
      <alignment horizontal="center" vertical="center"/>
    </xf>
    <xf numFmtId="0" fontId="10" fillId="5" borderId="1" xfId="0" applyFont="1" applyFill="1" applyBorder="1" applyAlignment="1">
      <alignment horizontal="center" vertical="center"/>
    </xf>
    <xf numFmtId="1" fontId="12" fillId="0" borderId="1" xfId="0" applyNumberFormat="1" applyFont="1" applyBorder="1" applyAlignment="1">
      <alignment horizontal="center" vertical="center"/>
    </xf>
    <xf numFmtId="0" fontId="11" fillId="6" borderId="2" xfId="0" applyFont="1" applyFill="1" applyBorder="1" applyAlignment="1">
      <alignment horizontal="center" vertical="center"/>
    </xf>
    <xf numFmtId="0" fontId="11" fillId="6" borderId="3" xfId="0" applyFont="1" applyFill="1" applyBorder="1" applyAlignment="1">
      <alignment horizontal="center" vertical="center"/>
    </xf>
    <xf numFmtId="0" fontId="11" fillId="6" borderId="4" xfId="0" applyFont="1" applyFill="1" applyBorder="1" applyAlignment="1">
      <alignment horizontal="center" vertical="center"/>
    </xf>
  </cellXfs>
  <cellStyles count="2">
    <cellStyle name="Normal" xfId="0" builtinId="0"/>
    <cellStyle name="Percent" xfId="1" builtinId="5"/>
  </cellStyles>
  <dxfs count="2526">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alignment horizontal="center"/>
    </dxf>
    <dxf>
      <font>
        <sz val="12"/>
      </font>
    </dxf>
    <dxf>
      <alignment vertical="center"/>
    </dxf>
    <dxf>
      <font>
        <b/>
      </font>
    </dxf>
    <dxf>
      <font>
        <sz val="14"/>
      </font>
    </dxf>
    <dxf>
      <alignment horizontal="center"/>
    </dxf>
    <dxf>
      <alignment vertical="center"/>
    </dxf>
    <dxf>
      <font>
        <sz val="14"/>
      </font>
    </dxf>
    <dxf>
      <font>
        <color rgb="FFC00000"/>
      </font>
    </dxf>
    <dxf>
      <font>
        <color theme="6"/>
      </font>
    </dxf>
    <dxf>
      <font>
        <color rgb="FFC49500"/>
      </font>
    </dxf>
    <dxf>
      <font>
        <color theme="0"/>
      </font>
    </dxf>
    <dxf>
      <fill>
        <patternFill patternType="solid">
          <bgColor theme="0"/>
        </patternFill>
      </fill>
    </dxf>
    <dxf>
      <fill>
        <patternFill>
          <bgColor rgb="FFC00000"/>
        </patternFill>
      </fill>
    </dxf>
    <dxf>
      <fill>
        <patternFill>
          <bgColor theme="6"/>
        </patternFill>
      </fill>
    </dxf>
    <dxf>
      <fill>
        <patternFill>
          <bgColor rgb="FFC49500"/>
        </patternFill>
      </fill>
    </dxf>
    <dxf>
      <font>
        <color auto="1"/>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font>
        <sz val="12"/>
      </font>
    </dxf>
    <dxf>
      <font>
        <sz val="12"/>
      </font>
    </dxf>
    <dxf>
      <alignment vertical="center"/>
    </dxf>
    <dxf>
      <alignment vertical="center"/>
    </dxf>
    <dxf>
      <font>
        <b/>
      </font>
    </dxf>
    <dxf>
      <font>
        <b/>
      </font>
    </dxf>
    <dxf>
      <font>
        <sz val="14"/>
      </font>
    </dxf>
    <dxf>
      <font>
        <sz val="14"/>
      </font>
    </dxf>
    <dxf>
      <font>
        <b/>
        <sz val="14"/>
      </font>
      <alignment vertical="center"/>
    </dxf>
    <dxf>
      <font>
        <b/>
        <sz val="14"/>
      </font>
      <alignment vertical="center"/>
    </dxf>
    <dxf>
      <alignment horizontal="center"/>
    </dxf>
    <dxf>
      <alignment horizontal="center"/>
    </dxf>
    <dxf>
      <alignment vertical="center"/>
    </dxf>
    <dxf>
      <alignment vertical="center"/>
    </dxf>
    <dxf>
      <font>
        <sz val="14"/>
      </font>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vertical style="thin">
          <color indexed="64"/>
        </vertical>
        <horizontal style="thin">
          <color indexed="64"/>
        </horizontal>
      </border>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font>
        <b/>
      </font>
    </dxf>
    <dxf>
      <alignment horizontal="center"/>
    </dxf>
    <dxf>
      <alignment vertical="center"/>
    </dxf>
    <dxf>
      <font>
        <sz val="18"/>
      </font>
    </dxf>
    <dxf>
      <font>
        <b/>
      </font>
    </dxf>
    <dxf>
      <font>
        <sz val="16"/>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alignment horizontal="center"/>
    </dxf>
    <dxf>
      <font>
        <sz val="12"/>
      </font>
    </dxf>
    <dxf>
      <alignment vertical="center"/>
    </dxf>
    <dxf>
      <font>
        <b/>
      </font>
    </dxf>
    <dxf>
      <font>
        <sz val="14"/>
      </font>
    </dxf>
    <dxf>
      <alignment horizontal="center"/>
    </dxf>
    <dxf>
      <alignment vertical="center"/>
    </dxf>
    <dxf>
      <font>
        <sz val="14"/>
      </font>
    </dxf>
    <dxf>
      <font>
        <color rgb="FFC00000"/>
      </font>
    </dxf>
    <dxf>
      <font>
        <color theme="6"/>
      </font>
    </dxf>
    <dxf>
      <font>
        <color rgb="FFC49500"/>
      </font>
    </dxf>
    <dxf>
      <font>
        <color theme="0"/>
      </font>
    </dxf>
    <dxf>
      <fill>
        <patternFill patternType="solid">
          <bgColor theme="0"/>
        </patternFill>
      </fill>
    </dxf>
    <dxf>
      <fill>
        <patternFill>
          <bgColor rgb="FFC00000"/>
        </patternFill>
      </fill>
    </dxf>
    <dxf>
      <fill>
        <patternFill>
          <bgColor theme="6"/>
        </patternFill>
      </fill>
    </dxf>
    <dxf>
      <fill>
        <patternFill>
          <bgColor rgb="FFC49500"/>
        </patternFill>
      </fill>
    </dxf>
    <dxf>
      <font>
        <color auto="1"/>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font>
        <sz val="12"/>
      </font>
    </dxf>
    <dxf>
      <font>
        <sz val="12"/>
      </font>
    </dxf>
    <dxf>
      <alignment vertical="center"/>
    </dxf>
    <dxf>
      <alignment vertical="center"/>
    </dxf>
    <dxf>
      <font>
        <b/>
      </font>
    </dxf>
    <dxf>
      <font>
        <b/>
      </font>
    </dxf>
    <dxf>
      <font>
        <sz val="14"/>
      </font>
    </dxf>
    <dxf>
      <font>
        <sz val="14"/>
      </font>
    </dxf>
    <dxf>
      <font>
        <b/>
        <sz val="14"/>
      </font>
      <alignment vertical="center"/>
    </dxf>
    <dxf>
      <font>
        <b/>
        <sz val="14"/>
      </font>
      <alignment vertical="center"/>
    </dxf>
    <dxf>
      <alignment horizontal="center"/>
    </dxf>
    <dxf>
      <alignment horizontal="center"/>
    </dxf>
    <dxf>
      <alignment vertical="center"/>
    </dxf>
    <dxf>
      <alignment vertical="center"/>
    </dxf>
    <dxf>
      <font>
        <sz val="14"/>
      </font>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vertical style="thin">
          <color indexed="64"/>
        </vertical>
        <horizontal style="thin">
          <color indexed="64"/>
        </horizontal>
      </border>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font>
        <b/>
      </font>
    </dxf>
    <dxf>
      <alignment horizontal="center"/>
    </dxf>
    <dxf>
      <alignment vertical="center"/>
    </dxf>
    <dxf>
      <font>
        <sz val="18"/>
      </font>
    </dxf>
    <dxf>
      <font>
        <b/>
      </font>
    </dxf>
    <dxf>
      <font>
        <sz val="16"/>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alignment horizontal="center"/>
    </dxf>
    <dxf>
      <font>
        <sz val="12"/>
      </font>
    </dxf>
    <dxf>
      <alignment vertical="center"/>
    </dxf>
    <dxf>
      <font>
        <b/>
      </font>
    </dxf>
    <dxf>
      <font>
        <sz val="14"/>
      </font>
    </dxf>
    <dxf>
      <alignment horizontal="center"/>
    </dxf>
    <dxf>
      <alignment vertical="center"/>
    </dxf>
    <dxf>
      <font>
        <sz val="14"/>
      </font>
    </dxf>
    <dxf>
      <font>
        <color rgb="FFC00000"/>
      </font>
    </dxf>
    <dxf>
      <font>
        <color theme="6"/>
      </font>
    </dxf>
    <dxf>
      <font>
        <color rgb="FFC49500"/>
      </font>
    </dxf>
    <dxf>
      <font>
        <color theme="0"/>
      </font>
    </dxf>
    <dxf>
      <fill>
        <patternFill patternType="solid">
          <bgColor theme="0"/>
        </patternFill>
      </fill>
    </dxf>
    <dxf>
      <fill>
        <patternFill>
          <bgColor rgb="FFC00000"/>
        </patternFill>
      </fill>
    </dxf>
    <dxf>
      <fill>
        <patternFill>
          <bgColor theme="6"/>
        </patternFill>
      </fill>
    </dxf>
    <dxf>
      <fill>
        <patternFill>
          <bgColor rgb="FFC49500"/>
        </patternFill>
      </fill>
    </dxf>
    <dxf>
      <font>
        <color auto="1"/>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font>
        <sz val="12"/>
      </font>
    </dxf>
    <dxf>
      <font>
        <sz val="12"/>
      </font>
    </dxf>
    <dxf>
      <alignment vertical="center"/>
    </dxf>
    <dxf>
      <alignment vertical="center"/>
    </dxf>
    <dxf>
      <font>
        <b/>
      </font>
    </dxf>
    <dxf>
      <font>
        <b/>
      </font>
    </dxf>
    <dxf>
      <font>
        <sz val="14"/>
      </font>
    </dxf>
    <dxf>
      <font>
        <sz val="14"/>
      </font>
    </dxf>
    <dxf>
      <font>
        <b/>
        <sz val="14"/>
      </font>
      <alignment vertical="center"/>
    </dxf>
    <dxf>
      <font>
        <b/>
        <sz val="14"/>
      </font>
      <alignment vertical="center"/>
    </dxf>
    <dxf>
      <alignment horizontal="center"/>
    </dxf>
    <dxf>
      <alignment horizontal="center"/>
    </dxf>
    <dxf>
      <alignment vertical="center"/>
    </dxf>
    <dxf>
      <alignment vertical="center"/>
    </dxf>
    <dxf>
      <font>
        <sz val="14"/>
      </font>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vertical style="thin">
          <color indexed="64"/>
        </vertical>
        <horizontal style="thin">
          <color indexed="64"/>
        </horizontal>
      </border>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font>
        <b/>
      </font>
    </dxf>
    <dxf>
      <alignment horizontal="center"/>
    </dxf>
    <dxf>
      <alignment vertical="center"/>
    </dxf>
    <dxf>
      <font>
        <sz val="18"/>
      </font>
    </dxf>
    <dxf>
      <font>
        <b/>
      </font>
    </dxf>
    <dxf>
      <font>
        <sz val="16"/>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alignment horizontal="center"/>
    </dxf>
    <dxf>
      <font>
        <sz val="12"/>
      </font>
    </dxf>
    <dxf>
      <alignment vertical="center"/>
    </dxf>
    <dxf>
      <font>
        <b/>
      </font>
    </dxf>
    <dxf>
      <font>
        <sz val="14"/>
      </font>
    </dxf>
    <dxf>
      <alignment horizontal="center"/>
    </dxf>
    <dxf>
      <alignment vertical="center"/>
    </dxf>
    <dxf>
      <font>
        <sz val="14"/>
      </font>
    </dxf>
    <dxf>
      <font>
        <color rgb="FFC00000"/>
      </font>
    </dxf>
    <dxf>
      <font>
        <color theme="6"/>
      </font>
    </dxf>
    <dxf>
      <font>
        <color rgb="FFC49500"/>
      </font>
    </dxf>
    <dxf>
      <font>
        <color theme="0"/>
      </font>
    </dxf>
    <dxf>
      <fill>
        <patternFill patternType="solid">
          <bgColor theme="0"/>
        </patternFill>
      </fill>
    </dxf>
    <dxf>
      <fill>
        <patternFill>
          <bgColor rgb="FFC00000"/>
        </patternFill>
      </fill>
    </dxf>
    <dxf>
      <fill>
        <patternFill>
          <bgColor theme="6"/>
        </patternFill>
      </fill>
    </dxf>
    <dxf>
      <fill>
        <patternFill>
          <bgColor rgb="FFC49500"/>
        </patternFill>
      </fill>
    </dxf>
    <dxf>
      <font>
        <color auto="1"/>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font>
        <sz val="12"/>
      </font>
    </dxf>
    <dxf>
      <font>
        <sz val="12"/>
      </font>
    </dxf>
    <dxf>
      <alignment vertical="center"/>
    </dxf>
    <dxf>
      <alignment vertical="center"/>
    </dxf>
    <dxf>
      <font>
        <b/>
      </font>
    </dxf>
    <dxf>
      <font>
        <b/>
      </font>
    </dxf>
    <dxf>
      <font>
        <sz val="14"/>
      </font>
    </dxf>
    <dxf>
      <font>
        <sz val="14"/>
      </font>
    </dxf>
    <dxf>
      <font>
        <b/>
        <sz val="14"/>
      </font>
      <alignment vertical="center"/>
    </dxf>
    <dxf>
      <font>
        <b/>
        <sz val="14"/>
      </font>
      <alignment vertical="center"/>
    </dxf>
    <dxf>
      <alignment horizontal="center"/>
    </dxf>
    <dxf>
      <alignment horizontal="center"/>
    </dxf>
    <dxf>
      <alignment vertical="center"/>
    </dxf>
    <dxf>
      <alignment vertical="center"/>
    </dxf>
    <dxf>
      <font>
        <sz val="14"/>
      </font>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vertical style="thin">
          <color indexed="64"/>
        </vertical>
        <horizontal style="thin">
          <color indexed="64"/>
        </horizontal>
      </border>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font>
        <b/>
      </font>
    </dxf>
    <dxf>
      <alignment horizontal="center"/>
    </dxf>
    <dxf>
      <alignment vertical="center"/>
    </dxf>
    <dxf>
      <font>
        <sz val="18"/>
      </font>
    </dxf>
    <dxf>
      <font>
        <b/>
      </font>
    </dxf>
    <dxf>
      <font>
        <sz val="16"/>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alignment horizontal="center"/>
    </dxf>
    <dxf>
      <font>
        <sz val="12"/>
      </font>
    </dxf>
    <dxf>
      <alignment vertical="center"/>
    </dxf>
    <dxf>
      <font>
        <b/>
      </font>
    </dxf>
    <dxf>
      <font>
        <sz val="14"/>
      </font>
    </dxf>
    <dxf>
      <alignment horizontal="center"/>
    </dxf>
    <dxf>
      <alignment vertical="center"/>
    </dxf>
    <dxf>
      <font>
        <sz val="14"/>
      </font>
    </dxf>
    <dxf>
      <font>
        <color rgb="FFC00000"/>
      </font>
    </dxf>
    <dxf>
      <font>
        <color theme="6"/>
      </font>
    </dxf>
    <dxf>
      <font>
        <color rgb="FFC49500"/>
      </font>
    </dxf>
    <dxf>
      <font>
        <color theme="0"/>
      </font>
    </dxf>
    <dxf>
      <fill>
        <patternFill patternType="solid">
          <bgColor theme="0"/>
        </patternFill>
      </fill>
    </dxf>
    <dxf>
      <fill>
        <patternFill>
          <bgColor rgb="FFC00000"/>
        </patternFill>
      </fill>
    </dxf>
    <dxf>
      <fill>
        <patternFill>
          <bgColor theme="6"/>
        </patternFill>
      </fill>
    </dxf>
    <dxf>
      <fill>
        <patternFill>
          <bgColor rgb="FFC49500"/>
        </patternFill>
      </fill>
    </dxf>
    <dxf>
      <font>
        <color auto="1"/>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font>
        <sz val="12"/>
      </font>
    </dxf>
    <dxf>
      <font>
        <sz val="12"/>
      </font>
    </dxf>
    <dxf>
      <alignment vertical="center"/>
    </dxf>
    <dxf>
      <alignment vertical="center"/>
    </dxf>
    <dxf>
      <font>
        <b/>
      </font>
    </dxf>
    <dxf>
      <font>
        <b/>
      </font>
    </dxf>
    <dxf>
      <font>
        <sz val="14"/>
      </font>
    </dxf>
    <dxf>
      <font>
        <sz val="14"/>
      </font>
    </dxf>
    <dxf>
      <font>
        <b/>
        <sz val="14"/>
      </font>
      <alignment vertical="center"/>
    </dxf>
    <dxf>
      <font>
        <b/>
        <sz val="14"/>
      </font>
      <alignment vertical="center"/>
    </dxf>
    <dxf>
      <alignment horizontal="center"/>
    </dxf>
    <dxf>
      <alignment horizontal="center"/>
    </dxf>
    <dxf>
      <alignment vertical="center"/>
    </dxf>
    <dxf>
      <alignment vertical="center"/>
    </dxf>
    <dxf>
      <font>
        <sz val="14"/>
      </font>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vertical style="thin">
          <color indexed="64"/>
        </vertical>
        <horizontal style="thin">
          <color indexed="64"/>
        </horizontal>
      </border>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font>
        <b/>
      </font>
    </dxf>
    <dxf>
      <alignment horizontal="center"/>
    </dxf>
    <dxf>
      <alignment vertical="center"/>
    </dxf>
    <dxf>
      <font>
        <sz val="18"/>
      </font>
    </dxf>
    <dxf>
      <font>
        <b/>
      </font>
    </dxf>
    <dxf>
      <font>
        <sz val="16"/>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alignment horizontal="center"/>
    </dxf>
    <dxf>
      <font>
        <sz val="12"/>
      </font>
    </dxf>
    <dxf>
      <alignment vertical="center"/>
    </dxf>
    <dxf>
      <font>
        <b/>
      </font>
    </dxf>
    <dxf>
      <font>
        <sz val="14"/>
      </font>
    </dxf>
    <dxf>
      <alignment horizontal="center"/>
    </dxf>
    <dxf>
      <alignment vertical="center"/>
    </dxf>
    <dxf>
      <font>
        <sz val="14"/>
      </font>
    </dxf>
    <dxf>
      <font>
        <color rgb="FFC00000"/>
      </font>
    </dxf>
    <dxf>
      <font>
        <color theme="6"/>
      </font>
    </dxf>
    <dxf>
      <font>
        <color rgb="FFC49500"/>
      </font>
    </dxf>
    <dxf>
      <font>
        <color theme="0"/>
      </font>
    </dxf>
    <dxf>
      <fill>
        <patternFill patternType="solid">
          <bgColor theme="0"/>
        </patternFill>
      </fill>
    </dxf>
    <dxf>
      <fill>
        <patternFill>
          <bgColor rgb="FFC00000"/>
        </patternFill>
      </fill>
    </dxf>
    <dxf>
      <fill>
        <patternFill>
          <bgColor theme="6"/>
        </patternFill>
      </fill>
    </dxf>
    <dxf>
      <fill>
        <patternFill>
          <bgColor rgb="FFC49500"/>
        </patternFill>
      </fill>
    </dxf>
    <dxf>
      <font>
        <color auto="1"/>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font>
        <sz val="12"/>
      </font>
    </dxf>
    <dxf>
      <font>
        <sz val="12"/>
      </font>
    </dxf>
    <dxf>
      <alignment vertical="center"/>
    </dxf>
    <dxf>
      <alignment vertical="center"/>
    </dxf>
    <dxf>
      <font>
        <b/>
      </font>
    </dxf>
    <dxf>
      <font>
        <b/>
      </font>
    </dxf>
    <dxf>
      <font>
        <sz val="14"/>
      </font>
    </dxf>
    <dxf>
      <font>
        <sz val="14"/>
      </font>
    </dxf>
    <dxf>
      <font>
        <b/>
        <sz val="14"/>
      </font>
      <alignment vertical="center"/>
    </dxf>
    <dxf>
      <font>
        <b/>
        <sz val="14"/>
      </font>
      <alignment vertical="center"/>
    </dxf>
    <dxf>
      <alignment horizontal="center"/>
    </dxf>
    <dxf>
      <alignment horizontal="center"/>
    </dxf>
    <dxf>
      <alignment vertical="center"/>
    </dxf>
    <dxf>
      <alignment vertical="center"/>
    </dxf>
    <dxf>
      <font>
        <sz val="14"/>
      </font>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vertical style="thin">
          <color indexed="64"/>
        </vertical>
        <horizontal style="thin">
          <color indexed="64"/>
        </horizontal>
      </border>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font>
        <b/>
      </font>
    </dxf>
    <dxf>
      <alignment horizontal="center"/>
    </dxf>
    <dxf>
      <alignment vertical="center"/>
    </dxf>
    <dxf>
      <font>
        <sz val="18"/>
      </font>
    </dxf>
    <dxf>
      <font>
        <b/>
      </font>
    </dxf>
    <dxf>
      <font>
        <sz val="16"/>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alignment horizontal="center"/>
    </dxf>
    <dxf>
      <font>
        <sz val="12"/>
      </font>
    </dxf>
    <dxf>
      <alignment vertical="center"/>
    </dxf>
    <dxf>
      <font>
        <b/>
      </font>
    </dxf>
    <dxf>
      <font>
        <sz val="14"/>
      </font>
    </dxf>
    <dxf>
      <alignment horizontal="center"/>
    </dxf>
    <dxf>
      <alignment vertical="center"/>
    </dxf>
    <dxf>
      <font>
        <sz val="14"/>
      </font>
    </dxf>
    <dxf>
      <font>
        <color rgb="FFC00000"/>
      </font>
    </dxf>
    <dxf>
      <font>
        <color theme="6"/>
      </font>
    </dxf>
    <dxf>
      <font>
        <color rgb="FFC49500"/>
      </font>
    </dxf>
    <dxf>
      <font>
        <color theme="0"/>
      </font>
    </dxf>
    <dxf>
      <fill>
        <patternFill patternType="solid">
          <bgColor theme="0"/>
        </patternFill>
      </fill>
    </dxf>
    <dxf>
      <fill>
        <patternFill>
          <bgColor rgb="FFC00000"/>
        </patternFill>
      </fill>
    </dxf>
    <dxf>
      <fill>
        <patternFill>
          <bgColor theme="6"/>
        </patternFill>
      </fill>
    </dxf>
    <dxf>
      <fill>
        <patternFill>
          <bgColor rgb="FFC49500"/>
        </patternFill>
      </fill>
    </dxf>
    <dxf>
      <font>
        <color auto="1"/>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font>
        <sz val="12"/>
      </font>
    </dxf>
    <dxf>
      <font>
        <sz val="12"/>
      </font>
    </dxf>
    <dxf>
      <alignment vertical="center"/>
    </dxf>
    <dxf>
      <alignment vertical="center"/>
    </dxf>
    <dxf>
      <font>
        <b/>
      </font>
    </dxf>
    <dxf>
      <font>
        <b/>
      </font>
    </dxf>
    <dxf>
      <font>
        <sz val="14"/>
      </font>
    </dxf>
    <dxf>
      <font>
        <sz val="14"/>
      </font>
    </dxf>
    <dxf>
      <font>
        <b/>
        <sz val="14"/>
      </font>
      <alignment vertical="center"/>
    </dxf>
    <dxf>
      <font>
        <b/>
        <sz val="14"/>
      </font>
      <alignment vertical="center"/>
    </dxf>
    <dxf>
      <alignment horizontal="center"/>
    </dxf>
    <dxf>
      <alignment horizontal="center"/>
    </dxf>
    <dxf>
      <alignment vertical="center"/>
    </dxf>
    <dxf>
      <alignment vertical="center"/>
    </dxf>
    <dxf>
      <font>
        <sz val="14"/>
      </font>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vertical style="thin">
          <color indexed="64"/>
        </vertical>
        <horizontal style="thin">
          <color indexed="64"/>
        </horizontal>
      </border>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font>
        <b/>
      </font>
    </dxf>
    <dxf>
      <alignment horizontal="center"/>
    </dxf>
    <dxf>
      <alignment vertical="center"/>
    </dxf>
    <dxf>
      <font>
        <sz val="18"/>
      </font>
    </dxf>
    <dxf>
      <font>
        <b/>
      </font>
    </dxf>
    <dxf>
      <font>
        <sz val="16"/>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alignment horizontal="center"/>
    </dxf>
    <dxf>
      <font>
        <sz val="12"/>
      </font>
    </dxf>
    <dxf>
      <alignment vertical="center"/>
    </dxf>
    <dxf>
      <font>
        <b/>
      </font>
    </dxf>
    <dxf>
      <font>
        <sz val="14"/>
      </font>
    </dxf>
    <dxf>
      <alignment horizontal="center"/>
    </dxf>
    <dxf>
      <alignment vertical="center"/>
    </dxf>
    <dxf>
      <font>
        <sz val="14"/>
      </font>
    </dxf>
    <dxf>
      <font>
        <color rgb="FFC00000"/>
      </font>
    </dxf>
    <dxf>
      <font>
        <color theme="6"/>
      </font>
    </dxf>
    <dxf>
      <font>
        <color rgb="FFC49500"/>
      </font>
    </dxf>
    <dxf>
      <font>
        <color theme="0"/>
      </font>
    </dxf>
    <dxf>
      <fill>
        <patternFill patternType="solid">
          <bgColor theme="0"/>
        </patternFill>
      </fill>
    </dxf>
    <dxf>
      <fill>
        <patternFill>
          <bgColor rgb="FFC00000"/>
        </patternFill>
      </fill>
    </dxf>
    <dxf>
      <fill>
        <patternFill>
          <bgColor theme="6"/>
        </patternFill>
      </fill>
    </dxf>
    <dxf>
      <fill>
        <patternFill>
          <bgColor rgb="FFC49500"/>
        </patternFill>
      </fill>
    </dxf>
    <dxf>
      <font>
        <color auto="1"/>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font>
        <sz val="12"/>
      </font>
    </dxf>
    <dxf>
      <font>
        <sz val="12"/>
      </font>
    </dxf>
    <dxf>
      <alignment vertical="center"/>
    </dxf>
    <dxf>
      <alignment vertical="center"/>
    </dxf>
    <dxf>
      <font>
        <b/>
      </font>
    </dxf>
    <dxf>
      <font>
        <b/>
      </font>
    </dxf>
    <dxf>
      <font>
        <sz val="14"/>
      </font>
    </dxf>
    <dxf>
      <font>
        <sz val="14"/>
      </font>
    </dxf>
    <dxf>
      <font>
        <b/>
        <sz val="14"/>
      </font>
      <alignment vertical="center"/>
    </dxf>
    <dxf>
      <font>
        <b/>
        <sz val="14"/>
      </font>
      <alignment vertical="center"/>
    </dxf>
    <dxf>
      <alignment horizontal="center"/>
    </dxf>
    <dxf>
      <alignment horizontal="center"/>
    </dxf>
    <dxf>
      <alignment vertical="center"/>
    </dxf>
    <dxf>
      <alignment vertical="center"/>
    </dxf>
    <dxf>
      <font>
        <sz val="14"/>
      </font>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vertical style="thin">
          <color indexed="64"/>
        </vertical>
        <horizontal style="thin">
          <color indexed="64"/>
        </horizontal>
      </border>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font>
        <b/>
      </font>
    </dxf>
    <dxf>
      <alignment horizontal="center"/>
    </dxf>
    <dxf>
      <alignment vertical="center"/>
    </dxf>
    <dxf>
      <font>
        <sz val="18"/>
      </font>
    </dxf>
    <dxf>
      <font>
        <b/>
      </font>
    </dxf>
    <dxf>
      <font>
        <sz val="16"/>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alignment horizontal="center"/>
    </dxf>
    <dxf>
      <font>
        <sz val="12"/>
      </font>
    </dxf>
    <dxf>
      <alignment vertical="center"/>
    </dxf>
    <dxf>
      <font>
        <b/>
      </font>
    </dxf>
    <dxf>
      <font>
        <sz val="14"/>
      </font>
    </dxf>
    <dxf>
      <alignment horizontal="center"/>
    </dxf>
    <dxf>
      <alignment vertical="center"/>
    </dxf>
    <dxf>
      <font>
        <sz val="14"/>
      </font>
    </dxf>
    <dxf>
      <font>
        <color rgb="FFC00000"/>
      </font>
    </dxf>
    <dxf>
      <font>
        <color theme="6"/>
      </font>
    </dxf>
    <dxf>
      <font>
        <color rgb="FFC49500"/>
      </font>
    </dxf>
    <dxf>
      <font>
        <color theme="0"/>
      </font>
    </dxf>
    <dxf>
      <fill>
        <patternFill patternType="solid">
          <bgColor theme="0"/>
        </patternFill>
      </fill>
    </dxf>
    <dxf>
      <fill>
        <patternFill>
          <bgColor rgb="FFC00000"/>
        </patternFill>
      </fill>
    </dxf>
    <dxf>
      <fill>
        <patternFill>
          <bgColor theme="6"/>
        </patternFill>
      </fill>
    </dxf>
    <dxf>
      <fill>
        <patternFill>
          <bgColor rgb="FFC49500"/>
        </patternFill>
      </fill>
    </dxf>
    <dxf>
      <font>
        <color auto="1"/>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font>
        <sz val="12"/>
      </font>
    </dxf>
    <dxf>
      <font>
        <sz val="12"/>
      </font>
    </dxf>
    <dxf>
      <alignment vertical="center"/>
    </dxf>
    <dxf>
      <alignment vertical="center"/>
    </dxf>
    <dxf>
      <font>
        <b/>
      </font>
    </dxf>
    <dxf>
      <font>
        <b/>
      </font>
    </dxf>
    <dxf>
      <font>
        <sz val="14"/>
      </font>
    </dxf>
    <dxf>
      <font>
        <sz val="14"/>
      </font>
    </dxf>
    <dxf>
      <font>
        <b/>
        <sz val="14"/>
      </font>
      <alignment vertical="center"/>
    </dxf>
    <dxf>
      <font>
        <b/>
        <sz val="14"/>
      </font>
      <alignment vertical="center"/>
    </dxf>
    <dxf>
      <alignment horizontal="center"/>
    </dxf>
    <dxf>
      <alignment horizontal="center"/>
    </dxf>
    <dxf>
      <alignment vertical="center"/>
    </dxf>
    <dxf>
      <alignment vertical="center"/>
    </dxf>
    <dxf>
      <font>
        <sz val="14"/>
      </font>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vertical style="thin">
          <color indexed="64"/>
        </vertical>
        <horizontal style="thin">
          <color indexed="64"/>
        </horizontal>
      </border>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font>
        <b/>
      </font>
    </dxf>
    <dxf>
      <alignment horizontal="center"/>
    </dxf>
    <dxf>
      <alignment vertical="center"/>
    </dxf>
    <dxf>
      <font>
        <sz val="18"/>
      </font>
    </dxf>
    <dxf>
      <font>
        <b/>
      </font>
    </dxf>
    <dxf>
      <font>
        <sz val="16"/>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alignment horizontal="center"/>
    </dxf>
    <dxf>
      <font>
        <sz val="12"/>
      </font>
    </dxf>
    <dxf>
      <alignment vertical="center"/>
    </dxf>
    <dxf>
      <font>
        <b/>
      </font>
    </dxf>
    <dxf>
      <font>
        <sz val="14"/>
      </font>
    </dxf>
    <dxf>
      <alignment horizontal="center"/>
    </dxf>
    <dxf>
      <alignment vertical="center"/>
    </dxf>
    <dxf>
      <font>
        <sz val="14"/>
      </font>
    </dxf>
    <dxf>
      <font>
        <color rgb="FFC00000"/>
      </font>
    </dxf>
    <dxf>
      <font>
        <color theme="6"/>
      </font>
    </dxf>
    <dxf>
      <font>
        <color rgb="FFC49500"/>
      </font>
    </dxf>
    <dxf>
      <font>
        <color theme="0"/>
      </font>
    </dxf>
    <dxf>
      <fill>
        <patternFill patternType="solid">
          <bgColor theme="0"/>
        </patternFill>
      </fill>
    </dxf>
    <dxf>
      <fill>
        <patternFill>
          <bgColor rgb="FFC00000"/>
        </patternFill>
      </fill>
    </dxf>
    <dxf>
      <fill>
        <patternFill>
          <bgColor theme="6"/>
        </patternFill>
      </fill>
    </dxf>
    <dxf>
      <fill>
        <patternFill>
          <bgColor rgb="FFC49500"/>
        </patternFill>
      </fill>
    </dxf>
    <dxf>
      <font>
        <color auto="1"/>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font>
        <sz val="12"/>
      </font>
    </dxf>
    <dxf>
      <font>
        <sz val="12"/>
      </font>
    </dxf>
    <dxf>
      <alignment vertical="center"/>
    </dxf>
    <dxf>
      <alignment vertical="center"/>
    </dxf>
    <dxf>
      <font>
        <b/>
      </font>
    </dxf>
    <dxf>
      <font>
        <b/>
      </font>
    </dxf>
    <dxf>
      <font>
        <sz val="14"/>
      </font>
    </dxf>
    <dxf>
      <font>
        <sz val="14"/>
      </font>
    </dxf>
    <dxf>
      <font>
        <b/>
        <sz val="14"/>
      </font>
      <alignment vertical="center"/>
    </dxf>
    <dxf>
      <font>
        <b/>
        <sz val="14"/>
      </font>
      <alignment vertical="center"/>
    </dxf>
    <dxf>
      <alignment horizontal="center"/>
    </dxf>
    <dxf>
      <alignment horizontal="center"/>
    </dxf>
    <dxf>
      <alignment vertical="center"/>
    </dxf>
    <dxf>
      <alignment vertical="center"/>
    </dxf>
    <dxf>
      <font>
        <sz val="14"/>
      </font>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vertical style="thin">
          <color indexed="64"/>
        </vertical>
        <horizontal style="thin">
          <color indexed="64"/>
        </horizontal>
      </border>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font>
        <b/>
      </font>
    </dxf>
    <dxf>
      <alignment horizontal="center"/>
    </dxf>
    <dxf>
      <alignment vertical="center"/>
    </dxf>
    <dxf>
      <font>
        <sz val="18"/>
      </font>
    </dxf>
    <dxf>
      <font>
        <b/>
      </font>
    </dxf>
    <dxf>
      <font>
        <sz val="16"/>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alignment horizontal="center"/>
    </dxf>
    <dxf>
      <font>
        <sz val="12"/>
      </font>
    </dxf>
    <dxf>
      <alignment vertical="center"/>
    </dxf>
    <dxf>
      <font>
        <b/>
      </font>
    </dxf>
    <dxf>
      <font>
        <sz val="14"/>
      </font>
    </dxf>
    <dxf>
      <alignment horizontal="center"/>
    </dxf>
    <dxf>
      <alignment vertical="center"/>
    </dxf>
    <dxf>
      <font>
        <sz val="14"/>
      </font>
    </dxf>
    <dxf>
      <font>
        <color rgb="FFC00000"/>
      </font>
    </dxf>
    <dxf>
      <font>
        <color theme="6"/>
      </font>
    </dxf>
    <dxf>
      <font>
        <color rgb="FFC49500"/>
      </font>
    </dxf>
    <dxf>
      <font>
        <color theme="0"/>
      </font>
    </dxf>
    <dxf>
      <fill>
        <patternFill patternType="solid">
          <bgColor theme="0"/>
        </patternFill>
      </fill>
    </dxf>
    <dxf>
      <fill>
        <patternFill>
          <bgColor rgb="FFC00000"/>
        </patternFill>
      </fill>
    </dxf>
    <dxf>
      <fill>
        <patternFill>
          <bgColor theme="6"/>
        </patternFill>
      </fill>
    </dxf>
    <dxf>
      <fill>
        <patternFill>
          <bgColor rgb="FFC49500"/>
        </patternFill>
      </fill>
    </dxf>
    <dxf>
      <font>
        <color auto="1"/>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font>
        <sz val="12"/>
      </font>
    </dxf>
    <dxf>
      <font>
        <sz val="12"/>
      </font>
    </dxf>
    <dxf>
      <alignment vertical="center"/>
    </dxf>
    <dxf>
      <alignment vertical="center"/>
    </dxf>
    <dxf>
      <font>
        <b/>
      </font>
    </dxf>
    <dxf>
      <font>
        <b/>
      </font>
    </dxf>
    <dxf>
      <font>
        <sz val="14"/>
      </font>
    </dxf>
    <dxf>
      <font>
        <sz val="14"/>
      </font>
    </dxf>
    <dxf>
      <font>
        <b/>
        <sz val="14"/>
      </font>
      <alignment vertical="center"/>
    </dxf>
    <dxf>
      <font>
        <b/>
        <sz val="14"/>
      </font>
      <alignment vertical="center"/>
    </dxf>
    <dxf>
      <alignment horizontal="center"/>
    </dxf>
    <dxf>
      <alignment horizontal="center"/>
    </dxf>
    <dxf>
      <alignment vertical="center"/>
    </dxf>
    <dxf>
      <alignment vertical="center"/>
    </dxf>
    <dxf>
      <font>
        <sz val="14"/>
      </font>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vertical style="thin">
          <color indexed="64"/>
        </vertical>
        <horizontal style="thin">
          <color indexed="64"/>
        </horizontal>
      </border>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font>
        <b/>
      </font>
    </dxf>
    <dxf>
      <alignment horizontal="center"/>
    </dxf>
    <dxf>
      <alignment vertical="center"/>
    </dxf>
    <dxf>
      <font>
        <sz val="18"/>
      </font>
    </dxf>
    <dxf>
      <font>
        <b/>
      </font>
    </dxf>
    <dxf>
      <font>
        <sz val="16"/>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alignment horizontal="center"/>
    </dxf>
    <dxf>
      <font>
        <sz val="12"/>
      </font>
    </dxf>
    <dxf>
      <alignment vertical="center"/>
    </dxf>
    <dxf>
      <font>
        <b/>
      </font>
    </dxf>
    <dxf>
      <font>
        <sz val="14"/>
      </font>
    </dxf>
    <dxf>
      <alignment horizontal="center"/>
    </dxf>
    <dxf>
      <alignment vertical="center"/>
    </dxf>
    <dxf>
      <font>
        <sz val="14"/>
      </font>
    </dxf>
    <dxf>
      <font>
        <color rgb="FFC00000"/>
      </font>
    </dxf>
    <dxf>
      <font>
        <color theme="6"/>
      </font>
    </dxf>
    <dxf>
      <font>
        <color rgb="FFC49500"/>
      </font>
    </dxf>
    <dxf>
      <font>
        <color theme="0"/>
      </font>
    </dxf>
    <dxf>
      <fill>
        <patternFill patternType="solid">
          <bgColor theme="0"/>
        </patternFill>
      </fill>
    </dxf>
    <dxf>
      <fill>
        <patternFill>
          <bgColor rgb="FFC00000"/>
        </patternFill>
      </fill>
    </dxf>
    <dxf>
      <fill>
        <patternFill>
          <bgColor theme="6"/>
        </patternFill>
      </fill>
    </dxf>
    <dxf>
      <fill>
        <patternFill>
          <bgColor rgb="FFC49500"/>
        </patternFill>
      </fill>
    </dxf>
    <dxf>
      <font>
        <color auto="1"/>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font>
        <sz val="12"/>
      </font>
    </dxf>
    <dxf>
      <font>
        <sz val="12"/>
      </font>
    </dxf>
    <dxf>
      <alignment vertical="center"/>
    </dxf>
    <dxf>
      <alignment vertical="center"/>
    </dxf>
    <dxf>
      <font>
        <b/>
      </font>
    </dxf>
    <dxf>
      <font>
        <b/>
      </font>
    </dxf>
    <dxf>
      <font>
        <sz val="14"/>
      </font>
    </dxf>
    <dxf>
      <font>
        <sz val="14"/>
      </font>
    </dxf>
    <dxf>
      <font>
        <b/>
        <sz val="14"/>
      </font>
      <alignment vertical="center"/>
    </dxf>
    <dxf>
      <font>
        <b/>
        <sz val="14"/>
      </font>
      <alignment vertical="center"/>
    </dxf>
    <dxf>
      <alignment horizontal="center"/>
    </dxf>
    <dxf>
      <alignment horizontal="center"/>
    </dxf>
    <dxf>
      <alignment vertical="center"/>
    </dxf>
    <dxf>
      <alignment vertical="center"/>
    </dxf>
    <dxf>
      <font>
        <sz val="14"/>
      </font>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vertical style="thin">
          <color indexed="64"/>
        </vertical>
        <horizontal style="thin">
          <color indexed="64"/>
        </horizontal>
      </border>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font>
        <b/>
      </font>
    </dxf>
    <dxf>
      <alignment horizontal="center"/>
    </dxf>
    <dxf>
      <alignment vertical="center"/>
    </dxf>
    <dxf>
      <font>
        <sz val="18"/>
      </font>
    </dxf>
    <dxf>
      <font>
        <b/>
      </font>
    </dxf>
    <dxf>
      <font>
        <sz val="16"/>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alignment horizontal="center"/>
    </dxf>
    <dxf>
      <font>
        <sz val="12"/>
      </font>
    </dxf>
    <dxf>
      <alignment vertical="center"/>
    </dxf>
    <dxf>
      <font>
        <b/>
      </font>
    </dxf>
    <dxf>
      <font>
        <sz val="14"/>
      </font>
    </dxf>
    <dxf>
      <alignment horizontal="center"/>
    </dxf>
    <dxf>
      <alignment vertical="center"/>
    </dxf>
    <dxf>
      <font>
        <sz val="14"/>
      </font>
    </dxf>
    <dxf>
      <font>
        <color rgb="FFC00000"/>
      </font>
    </dxf>
    <dxf>
      <font>
        <color theme="6"/>
      </font>
    </dxf>
    <dxf>
      <font>
        <color rgb="FFC49500"/>
      </font>
    </dxf>
    <dxf>
      <font>
        <color theme="0"/>
      </font>
    </dxf>
    <dxf>
      <fill>
        <patternFill patternType="solid">
          <bgColor theme="0"/>
        </patternFill>
      </fill>
    </dxf>
    <dxf>
      <fill>
        <patternFill>
          <bgColor rgb="FFC00000"/>
        </patternFill>
      </fill>
    </dxf>
    <dxf>
      <fill>
        <patternFill>
          <bgColor theme="6"/>
        </patternFill>
      </fill>
    </dxf>
    <dxf>
      <fill>
        <patternFill>
          <bgColor rgb="FFC49500"/>
        </patternFill>
      </fill>
    </dxf>
    <dxf>
      <font>
        <color auto="1"/>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font>
        <sz val="12"/>
      </font>
    </dxf>
    <dxf>
      <font>
        <sz val="12"/>
      </font>
    </dxf>
    <dxf>
      <alignment vertical="center"/>
    </dxf>
    <dxf>
      <alignment vertical="center"/>
    </dxf>
    <dxf>
      <font>
        <b/>
      </font>
    </dxf>
    <dxf>
      <font>
        <b/>
      </font>
    </dxf>
    <dxf>
      <font>
        <sz val="14"/>
      </font>
    </dxf>
    <dxf>
      <font>
        <sz val="14"/>
      </font>
    </dxf>
    <dxf>
      <font>
        <b/>
        <sz val="14"/>
      </font>
      <alignment vertical="center"/>
    </dxf>
    <dxf>
      <font>
        <b/>
        <sz val="14"/>
      </font>
      <alignment vertical="center"/>
    </dxf>
    <dxf>
      <alignment horizontal="center"/>
    </dxf>
    <dxf>
      <alignment horizontal="center"/>
    </dxf>
    <dxf>
      <alignment vertical="center"/>
    </dxf>
    <dxf>
      <alignment vertical="center"/>
    </dxf>
    <dxf>
      <font>
        <sz val="14"/>
      </font>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vertical style="thin">
          <color indexed="64"/>
        </vertical>
        <horizontal style="thin">
          <color indexed="64"/>
        </horizontal>
      </border>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font>
        <b/>
      </font>
    </dxf>
    <dxf>
      <alignment horizontal="center"/>
    </dxf>
    <dxf>
      <alignment vertical="center"/>
    </dxf>
    <dxf>
      <font>
        <sz val="18"/>
      </font>
    </dxf>
    <dxf>
      <font>
        <b/>
      </font>
    </dxf>
    <dxf>
      <font>
        <sz val="16"/>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alignment horizontal="center"/>
    </dxf>
    <dxf>
      <font>
        <sz val="12"/>
      </font>
    </dxf>
    <dxf>
      <alignment vertical="center"/>
    </dxf>
    <dxf>
      <font>
        <b/>
      </font>
    </dxf>
    <dxf>
      <font>
        <sz val="14"/>
      </font>
    </dxf>
    <dxf>
      <alignment horizontal="center"/>
    </dxf>
    <dxf>
      <alignment vertical="center"/>
    </dxf>
    <dxf>
      <font>
        <sz val="14"/>
      </font>
    </dxf>
    <dxf>
      <font>
        <color rgb="FFC00000"/>
      </font>
    </dxf>
    <dxf>
      <font>
        <color theme="6"/>
      </font>
    </dxf>
    <dxf>
      <font>
        <color rgb="FFC49500"/>
      </font>
    </dxf>
    <dxf>
      <font>
        <color theme="0"/>
      </font>
    </dxf>
    <dxf>
      <fill>
        <patternFill patternType="solid">
          <bgColor theme="0"/>
        </patternFill>
      </fill>
    </dxf>
    <dxf>
      <fill>
        <patternFill>
          <bgColor rgb="FFC00000"/>
        </patternFill>
      </fill>
    </dxf>
    <dxf>
      <fill>
        <patternFill>
          <bgColor theme="6"/>
        </patternFill>
      </fill>
    </dxf>
    <dxf>
      <fill>
        <patternFill>
          <bgColor rgb="FFC49500"/>
        </patternFill>
      </fill>
    </dxf>
    <dxf>
      <font>
        <color auto="1"/>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font>
        <sz val="12"/>
      </font>
    </dxf>
    <dxf>
      <font>
        <sz val="12"/>
      </font>
    </dxf>
    <dxf>
      <alignment vertical="center"/>
    </dxf>
    <dxf>
      <alignment vertical="center"/>
    </dxf>
    <dxf>
      <font>
        <b/>
      </font>
    </dxf>
    <dxf>
      <font>
        <b/>
      </font>
    </dxf>
    <dxf>
      <font>
        <sz val="14"/>
      </font>
    </dxf>
    <dxf>
      <font>
        <sz val="14"/>
      </font>
    </dxf>
    <dxf>
      <font>
        <b/>
        <sz val="14"/>
      </font>
      <alignment vertical="center"/>
    </dxf>
    <dxf>
      <font>
        <b/>
        <sz val="14"/>
      </font>
      <alignment vertical="center"/>
    </dxf>
    <dxf>
      <alignment horizontal="center"/>
    </dxf>
    <dxf>
      <alignment horizontal="center"/>
    </dxf>
    <dxf>
      <alignment vertical="center"/>
    </dxf>
    <dxf>
      <alignment vertical="center"/>
    </dxf>
    <dxf>
      <font>
        <sz val="14"/>
      </font>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vertical style="thin">
          <color indexed="64"/>
        </vertical>
        <horizontal style="thin">
          <color indexed="64"/>
        </horizontal>
      </border>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font>
        <b/>
      </font>
    </dxf>
    <dxf>
      <alignment horizontal="center"/>
    </dxf>
    <dxf>
      <alignment vertical="center"/>
    </dxf>
    <dxf>
      <font>
        <sz val="18"/>
      </font>
    </dxf>
    <dxf>
      <font>
        <b/>
      </font>
    </dxf>
    <dxf>
      <font>
        <sz val="16"/>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alignment horizontal="center"/>
    </dxf>
    <dxf>
      <font>
        <sz val="12"/>
      </font>
    </dxf>
    <dxf>
      <alignment vertical="center"/>
    </dxf>
    <dxf>
      <font>
        <b/>
      </font>
    </dxf>
    <dxf>
      <font>
        <sz val="14"/>
      </font>
    </dxf>
    <dxf>
      <alignment horizontal="center"/>
    </dxf>
    <dxf>
      <alignment vertical="center"/>
    </dxf>
    <dxf>
      <font>
        <sz val="14"/>
      </font>
    </dxf>
    <dxf>
      <font>
        <color rgb="FFC00000"/>
      </font>
    </dxf>
    <dxf>
      <font>
        <color theme="6"/>
      </font>
    </dxf>
    <dxf>
      <font>
        <color rgb="FFC49500"/>
      </font>
    </dxf>
    <dxf>
      <font>
        <color theme="0"/>
      </font>
    </dxf>
    <dxf>
      <fill>
        <patternFill patternType="solid">
          <bgColor theme="0"/>
        </patternFill>
      </fill>
    </dxf>
    <dxf>
      <fill>
        <patternFill>
          <bgColor rgb="FFC00000"/>
        </patternFill>
      </fill>
    </dxf>
    <dxf>
      <fill>
        <patternFill>
          <bgColor theme="6"/>
        </patternFill>
      </fill>
    </dxf>
    <dxf>
      <fill>
        <patternFill>
          <bgColor rgb="FFC49500"/>
        </patternFill>
      </fill>
    </dxf>
    <dxf>
      <font>
        <color auto="1"/>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font>
        <sz val="12"/>
      </font>
    </dxf>
    <dxf>
      <font>
        <sz val="12"/>
      </font>
    </dxf>
    <dxf>
      <alignment vertical="center"/>
    </dxf>
    <dxf>
      <alignment vertical="center"/>
    </dxf>
    <dxf>
      <font>
        <b/>
      </font>
    </dxf>
    <dxf>
      <font>
        <b/>
      </font>
    </dxf>
    <dxf>
      <font>
        <sz val="14"/>
      </font>
    </dxf>
    <dxf>
      <font>
        <sz val="14"/>
      </font>
    </dxf>
    <dxf>
      <font>
        <b/>
        <sz val="14"/>
      </font>
      <alignment vertical="center"/>
    </dxf>
    <dxf>
      <font>
        <b/>
        <sz val="14"/>
      </font>
      <alignment vertical="center"/>
    </dxf>
    <dxf>
      <alignment horizontal="center"/>
    </dxf>
    <dxf>
      <alignment horizontal="center"/>
    </dxf>
    <dxf>
      <alignment vertical="center"/>
    </dxf>
    <dxf>
      <alignment vertical="center"/>
    </dxf>
    <dxf>
      <font>
        <sz val="14"/>
      </font>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vertical style="thin">
          <color indexed="64"/>
        </vertical>
        <horizontal style="thin">
          <color indexed="64"/>
        </horizontal>
      </border>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font>
        <b/>
      </font>
    </dxf>
    <dxf>
      <alignment horizontal="center"/>
    </dxf>
    <dxf>
      <alignment vertical="center"/>
    </dxf>
    <dxf>
      <font>
        <sz val="18"/>
      </font>
    </dxf>
    <dxf>
      <font>
        <b/>
      </font>
    </dxf>
    <dxf>
      <font>
        <sz val="16"/>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alignment horizontal="center"/>
    </dxf>
    <dxf>
      <font>
        <sz val="12"/>
      </font>
    </dxf>
    <dxf>
      <alignment vertical="center"/>
    </dxf>
    <dxf>
      <font>
        <b/>
      </font>
    </dxf>
    <dxf>
      <font>
        <sz val="14"/>
      </font>
    </dxf>
    <dxf>
      <alignment horizontal="center"/>
    </dxf>
    <dxf>
      <alignment vertical="center"/>
    </dxf>
    <dxf>
      <font>
        <sz val="14"/>
      </font>
    </dxf>
    <dxf>
      <font>
        <color rgb="FFC00000"/>
      </font>
    </dxf>
    <dxf>
      <font>
        <color theme="6"/>
      </font>
    </dxf>
    <dxf>
      <font>
        <color rgb="FFC49500"/>
      </font>
    </dxf>
    <dxf>
      <font>
        <color theme="0"/>
      </font>
    </dxf>
    <dxf>
      <fill>
        <patternFill patternType="solid">
          <bgColor theme="0"/>
        </patternFill>
      </fill>
    </dxf>
    <dxf>
      <fill>
        <patternFill>
          <bgColor rgb="FFC00000"/>
        </patternFill>
      </fill>
    </dxf>
    <dxf>
      <fill>
        <patternFill>
          <bgColor theme="6"/>
        </patternFill>
      </fill>
    </dxf>
    <dxf>
      <fill>
        <patternFill>
          <bgColor rgb="FFC49500"/>
        </patternFill>
      </fill>
    </dxf>
    <dxf>
      <font>
        <color auto="1"/>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font>
        <sz val="12"/>
      </font>
    </dxf>
    <dxf>
      <font>
        <sz val="12"/>
      </font>
    </dxf>
    <dxf>
      <alignment vertical="center"/>
    </dxf>
    <dxf>
      <alignment vertical="center"/>
    </dxf>
    <dxf>
      <font>
        <b/>
      </font>
    </dxf>
    <dxf>
      <font>
        <b/>
      </font>
    </dxf>
    <dxf>
      <font>
        <sz val="14"/>
      </font>
    </dxf>
    <dxf>
      <font>
        <sz val="14"/>
      </font>
    </dxf>
    <dxf>
      <font>
        <b/>
        <sz val="14"/>
      </font>
      <alignment vertical="center"/>
    </dxf>
    <dxf>
      <font>
        <b/>
        <sz val="14"/>
      </font>
      <alignment vertical="center"/>
    </dxf>
    <dxf>
      <alignment horizontal="center"/>
    </dxf>
    <dxf>
      <alignment horizontal="center"/>
    </dxf>
    <dxf>
      <alignment vertical="center"/>
    </dxf>
    <dxf>
      <alignment vertical="center"/>
    </dxf>
    <dxf>
      <font>
        <sz val="14"/>
      </font>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vertical style="thin">
          <color indexed="64"/>
        </vertical>
        <horizontal style="thin">
          <color indexed="64"/>
        </horizontal>
      </border>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font>
        <b/>
      </font>
    </dxf>
    <dxf>
      <alignment horizontal="center"/>
    </dxf>
    <dxf>
      <alignment vertical="center"/>
    </dxf>
    <dxf>
      <font>
        <sz val="18"/>
      </font>
    </dxf>
    <dxf>
      <font>
        <b/>
      </font>
    </dxf>
    <dxf>
      <font>
        <sz val="16"/>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alignment horizontal="center"/>
    </dxf>
    <dxf>
      <font>
        <sz val="12"/>
      </font>
    </dxf>
    <dxf>
      <alignment vertical="center"/>
    </dxf>
    <dxf>
      <font>
        <b/>
      </font>
    </dxf>
    <dxf>
      <font>
        <sz val="14"/>
      </font>
    </dxf>
    <dxf>
      <alignment horizontal="center"/>
    </dxf>
    <dxf>
      <alignment vertical="center"/>
    </dxf>
    <dxf>
      <font>
        <sz val="14"/>
      </font>
    </dxf>
    <dxf>
      <font>
        <color rgb="FFC00000"/>
      </font>
    </dxf>
    <dxf>
      <font>
        <color theme="6"/>
      </font>
    </dxf>
    <dxf>
      <font>
        <color rgb="FFC49500"/>
      </font>
    </dxf>
    <dxf>
      <font>
        <color theme="0"/>
      </font>
    </dxf>
    <dxf>
      <fill>
        <patternFill patternType="solid">
          <bgColor theme="0"/>
        </patternFill>
      </fill>
    </dxf>
    <dxf>
      <fill>
        <patternFill>
          <bgColor rgb="FFC00000"/>
        </patternFill>
      </fill>
    </dxf>
    <dxf>
      <fill>
        <patternFill>
          <bgColor theme="6"/>
        </patternFill>
      </fill>
    </dxf>
    <dxf>
      <fill>
        <patternFill>
          <bgColor rgb="FFC49500"/>
        </patternFill>
      </fill>
    </dxf>
    <dxf>
      <font>
        <color auto="1"/>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font>
        <sz val="12"/>
      </font>
    </dxf>
    <dxf>
      <font>
        <sz val="12"/>
      </font>
    </dxf>
    <dxf>
      <alignment vertical="center"/>
    </dxf>
    <dxf>
      <alignment vertical="center"/>
    </dxf>
    <dxf>
      <font>
        <b/>
      </font>
    </dxf>
    <dxf>
      <font>
        <b/>
      </font>
    </dxf>
    <dxf>
      <font>
        <sz val="14"/>
      </font>
    </dxf>
    <dxf>
      <font>
        <sz val="14"/>
      </font>
    </dxf>
    <dxf>
      <font>
        <b/>
        <sz val="14"/>
      </font>
      <alignment vertical="center"/>
    </dxf>
    <dxf>
      <font>
        <b/>
        <sz val="14"/>
      </font>
      <alignment vertical="center"/>
    </dxf>
    <dxf>
      <alignment horizontal="center"/>
    </dxf>
    <dxf>
      <alignment horizontal="center"/>
    </dxf>
    <dxf>
      <alignment vertical="center"/>
    </dxf>
    <dxf>
      <alignment vertical="center"/>
    </dxf>
    <dxf>
      <font>
        <sz val="14"/>
      </font>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vertical style="thin">
          <color indexed="64"/>
        </vertical>
        <horizontal style="thin">
          <color indexed="64"/>
        </horizontal>
      </border>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font>
        <b/>
      </font>
    </dxf>
    <dxf>
      <alignment horizontal="center"/>
    </dxf>
    <dxf>
      <alignment vertical="center"/>
    </dxf>
    <dxf>
      <font>
        <sz val="18"/>
      </font>
    </dxf>
    <dxf>
      <font>
        <b/>
      </font>
    </dxf>
    <dxf>
      <font>
        <sz val="16"/>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alignment horizontal="center"/>
    </dxf>
    <dxf>
      <font>
        <sz val="12"/>
      </font>
    </dxf>
    <dxf>
      <alignment vertical="center"/>
    </dxf>
    <dxf>
      <font>
        <b/>
      </font>
    </dxf>
    <dxf>
      <font>
        <sz val="14"/>
      </font>
    </dxf>
    <dxf>
      <alignment horizontal="center"/>
    </dxf>
    <dxf>
      <alignment vertical="center"/>
    </dxf>
    <dxf>
      <font>
        <sz val="14"/>
      </font>
    </dxf>
    <dxf>
      <font>
        <color rgb="FFC00000"/>
      </font>
    </dxf>
    <dxf>
      <font>
        <color theme="6"/>
      </font>
    </dxf>
    <dxf>
      <font>
        <color rgb="FFC49500"/>
      </font>
    </dxf>
    <dxf>
      <font>
        <color theme="0"/>
      </font>
    </dxf>
    <dxf>
      <fill>
        <patternFill patternType="solid">
          <bgColor theme="0"/>
        </patternFill>
      </fill>
    </dxf>
    <dxf>
      <fill>
        <patternFill>
          <bgColor rgb="FFC00000"/>
        </patternFill>
      </fill>
    </dxf>
    <dxf>
      <fill>
        <patternFill>
          <bgColor theme="6"/>
        </patternFill>
      </fill>
    </dxf>
    <dxf>
      <fill>
        <patternFill>
          <bgColor rgb="FFC49500"/>
        </patternFill>
      </fill>
    </dxf>
    <dxf>
      <font>
        <color auto="1"/>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font>
        <sz val="12"/>
      </font>
    </dxf>
    <dxf>
      <font>
        <sz val="12"/>
      </font>
    </dxf>
    <dxf>
      <alignment vertical="center"/>
    </dxf>
    <dxf>
      <alignment vertical="center"/>
    </dxf>
    <dxf>
      <font>
        <b/>
      </font>
    </dxf>
    <dxf>
      <font>
        <b/>
      </font>
    </dxf>
    <dxf>
      <font>
        <sz val="14"/>
      </font>
    </dxf>
    <dxf>
      <font>
        <sz val="14"/>
      </font>
    </dxf>
    <dxf>
      <font>
        <b/>
        <sz val="14"/>
      </font>
      <alignment vertical="center"/>
    </dxf>
    <dxf>
      <font>
        <b/>
        <sz val="14"/>
      </font>
      <alignment vertical="center"/>
    </dxf>
    <dxf>
      <alignment horizontal="center"/>
    </dxf>
    <dxf>
      <alignment horizontal="center"/>
    </dxf>
    <dxf>
      <alignment vertical="center"/>
    </dxf>
    <dxf>
      <alignment vertical="center"/>
    </dxf>
    <dxf>
      <font>
        <sz val="14"/>
      </font>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vertical style="thin">
          <color indexed="64"/>
        </vertical>
        <horizontal style="thin">
          <color indexed="64"/>
        </horizontal>
      </border>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font>
        <b/>
      </font>
    </dxf>
    <dxf>
      <alignment horizontal="center"/>
    </dxf>
    <dxf>
      <alignment vertical="center"/>
    </dxf>
    <dxf>
      <font>
        <sz val="18"/>
      </font>
    </dxf>
    <dxf>
      <font>
        <b/>
      </font>
    </dxf>
    <dxf>
      <font>
        <sz val="16"/>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alignment horizontal="center"/>
    </dxf>
    <dxf>
      <font>
        <sz val="12"/>
      </font>
    </dxf>
    <dxf>
      <alignment vertical="center"/>
    </dxf>
    <dxf>
      <font>
        <b/>
      </font>
    </dxf>
    <dxf>
      <font>
        <sz val="14"/>
      </font>
    </dxf>
    <dxf>
      <alignment horizontal="center"/>
    </dxf>
    <dxf>
      <alignment vertical="center"/>
    </dxf>
    <dxf>
      <font>
        <sz val="14"/>
      </font>
    </dxf>
    <dxf>
      <font>
        <color rgb="FFC00000"/>
      </font>
    </dxf>
    <dxf>
      <font>
        <color theme="6"/>
      </font>
    </dxf>
    <dxf>
      <font>
        <color rgb="FFC49500"/>
      </font>
    </dxf>
    <dxf>
      <font>
        <color theme="0"/>
      </font>
    </dxf>
    <dxf>
      <fill>
        <patternFill patternType="solid">
          <bgColor theme="0"/>
        </patternFill>
      </fill>
    </dxf>
    <dxf>
      <fill>
        <patternFill>
          <bgColor rgb="FFC00000"/>
        </patternFill>
      </fill>
    </dxf>
    <dxf>
      <fill>
        <patternFill>
          <bgColor theme="6"/>
        </patternFill>
      </fill>
    </dxf>
    <dxf>
      <fill>
        <patternFill>
          <bgColor rgb="FFC49500"/>
        </patternFill>
      </fill>
    </dxf>
    <dxf>
      <font>
        <color auto="1"/>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font>
        <sz val="12"/>
      </font>
    </dxf>
    <dxf>
      <font>
        <sz val="12"/>
      </font>
    </dxf>
    <dxf>
      <alignment vertical="center"/>
    </dxf>
    <dxf>
      <alignment vertical="center"/>
    </dxf>
    <dxf>
      <font>
        <b/>
      </font>
    </dxf>
    <dxf>
      <font>
        <b/>
      </font>
    </dxf>
    <dxf>
      <font>
        <sz val="14"/>
      </font>
    </dxf>
    <dxf>
      <font>
        <sz val="14"/>
      </font>
    </dxf>
    <dxf>
      <font>
        <b/>
        <sz val="14"/>
      </font>
      <alignment vertical="center"/>
    </dxf>
    <dxf>
      <font>
        <b/>
        <sz val="14"/>
      </font>
      <alignment vertical="center"/>
    </dxf>
    <dxf>
      <alignment horizontal="center"/>
    </dxf>
    <dxf>
      <alignment horizontal="center"/>
    </dxf>
    <dxf>
      <alignment vertical="center"/>
    </dxf>
    <dxf>
      <alignment vertical="center"/>
    </dxf>
    <dxf>
      <font>
        <sz val="14"/>
      </font>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vertical style="thin">
          <color indexed="64"/>
        </vertical>
        <horizontal style="thin">
          <color indexed="64"/>
        </horizontal>
      </border>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font>
        <b/>
      </font>
    </dxf>
    <dxf>
      <alignment horizontal="center"/>
    </dxf>
    <dxf>
      <alignment vertical="center"/>
    </dxf>
    <dxf>
      <font>
        <sz val="18"/>
      </font>
    </dxf>
    <dxf>
      <font>
        <b/>
      </font>
    </dxf>
    <dxf>
      <font>
        <sz val="16"/>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alignment horizontal="center"/>
    </dxf>
    <dxf>
      <font>
        <sz val="12"/>
      </font>
    </dxf>
    <dxf>
      <alignment vertical="center"/>
    </dxf>
    <dxf>
      <font>
        <b/>
      </font>
    </dxf>
    <dxf>
      <font>
        <sz val="14"/>
      </font>
    </dxf>
    <dxf>
      <alignment horizontal="center"/>
    </dxf>
    <dxf>
      <alignment vertical="center"/>
    </dxf>
    <dxf>
      <font>
        <sz val="14"/>
      </font>
    </dxf>
    <dxf>
      <font>
        <color rgb="FFC00000"/>
      </font>
    </dxf>
    <dxf>
      <font>
        <color theme="6"/>
      </font>
    </dxf>
    <dxf>
      <font>
        <color rgb="FFC49500"/>
      </font>
    </dxf>
    <dxf>
      <font>
        <color theme="0"/>
      </font>
    </dxf>
    <dxf>
      <fill>
        <patternFill patternType="solid">
          <bgColor theme="0"/>
        </patternFill>
      </fill>
    </dxf>
    <dxf>
      <fill>
        <patternFill>
          <bgColor rgb="FFC00000"/>
        </patternFill>
      </fill>
    </dxf>
    <dxf>
      <fill>
        <patternFill>
          <bgColor theme="6"/>
        </patternFill>
      </fill>
    </dxf>
    <dxf>
      <fill>
        <patternFill>
          <bgColor rgb="FFC49500"/>
        </patternFill>
      </fill>
    </dxf>
    <dxf>
      <font>
        <color auto="1"/>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font>
        <sz val="12"/>
      </font>
    </dxf>
    <dxf>
      <font>
        <sz val="12"/>
      </font>
    </dxf>
    <dxf>
      <alignment vertical="center"/>
    </dxf>
    <dxf>
      <alignment vertical="center"/>
    </dxf>
    <dxf>
      <font>
        <b/>
      </font>
    </dxf>
    <dxf>
      <font>
        <b/>
      </font>
    </dxf>
    <dxf>
      <font>
        <sz val="14"/>
      </font>
    </dxf>
    <dxf>
      <font>
        <sz val="14"/>
      </font>
    </dxf>
    <dxf>
      <font>
        <b/>
        <sz val="14"/>
      </font>
      <alignment vertical="center"/>
    </dxf>
    <dxf>
      <font>
        <b/>
        <sz val="14"/>
      </font>
      <alignment vertical="center"/>
    </dxf>
    <dxf>
      <alignment horizontal="center"/>
    </dxf>
    <dxf>
      <alignment horizontal="center"/>
    </dxf>
    <dxf>
      <alignment vertical="center"/>
    </dxf>
    <dxf>
      <alignment vertical="center"/>
    </dxf>
    <dxf>
      <font>
        <sz val="14"/>
      </font>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vertical style="thin">
          <color indexed="64"/>
        </vertical>
        <horizontal style="thin">
          <color indexed="64"/>
        </horizontal>
      </border>
    </dxf>
    <dxf>
      <font>
        <sz val="12"/>
      </font>
    </dxf>
    <dxf>
      <alignment vertical="center"/>
    </dxf>
    <dxf>
      <font>
        <b/>
      </font>
    </dxf>
    <dxf>
      <font>
        <sz val="14"/>
      </font>
    </dxf>
    <dxf>
      <alignment horizontal="center"/>
    </dxf>
    <dxf>
      <alignment vertical="center"/>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font>
        <b/>
      </font>
    </dxf>
    <dxf>
      <alignment horizontal="center"/>
    </dxf>
    <dxf>
      <alignment vertical="center"/>
    </dxf>
    <dxf>
      <font>
        <sz val="18"/>
      </font>
    </dxf>
    <dxf>
      <font>
        <b/>
      </font>
    </dxf>
    <dxf>
      <font>
        <sz val="16"/>
      </font>
    </dxf>
    <dxf>
      <numFmt numFmtId="0" formatCode="General"/>
    </dxf>
    <dxf>
      <numFmt numFmtId="19" formatCode="dd/mm/yyyy"/>
    </dxf>
    <dxf>
      <font>
        <color auto="1"/>
      </font>
    </dxf>
    <dxf>
      <fill>
        <patternFill>
          <bgColor rgb="FFC49500"/>
        </patternFill>
      </fill>
    </dxf>
    <dxf>
      <fill>
        <patternFill>
          <bgColor theme="6"/>
        </patternFill>
      </fill>
    </dxf>
    <dxf>
      <fill>
        <patternFill>
          <bgColor rgb="FFC00000"/>
        </patternFill>
      </fill>
    </dxf>
    <dxf>
      <fill>
        <patternFill patternType="solid">
          <bgColor theme="0"/>
        </patternFill>
      </fill>
    </dxf>
    <dxf>
      <font>
        <color theme="0"/>
      </font>
    </dxf>
    <dxf>
      <font>
        <color rgb="FFC49500"/>
      </font>
    </dxf>
    <dxf>
      <font>
        <color theme="6"/>
      </font>
    </dxf>
    <dxf>
      <font>
        <color rgb="FFC00000"/>
      </font>
    </dxf>
    <dxf>
      <font>
        <sz val="14"/>
      </font>
    </dxf>
    <dxf>
      <font>
        <sz val="14"/>
      </font>
    </dxf>
    <dxf>
      <font>
        <sz val="14"/>
      </font>
    </dxf>
    <dxf>
      <font>
        <sz val="14"/>
      </font>
    </dxf>
    <dxf>
      <font>
        <sz val="14"/>
      </font>
    </dxf>
    <dxf>
      <font>
        <sz val="14"/>
      </font>
    </dxf>
    <dxf>
      <font>
        <sz val="14"/>
      </font>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font>
        <b/>
        <sz val="14"/>
      </font>
      <alignment vertical="center"/>
    </dxf>
    <dxf>
      <font>
        <sz val="16"/>
      </font>
    </dxf>
    <dxf>
      <font>
        <b/>
      </font>
    </dxf>
    <dxf>
      <font>
        <b/>
        <sz val="14"/>
      </font>
      <alignment vertical="center"/>
    </dxf>
    <dxf>
      <font>
        <sz val="14"/>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vertical="center"/>
    </dxf>
    <dxf>
      <font>
        <sz val="18"/>
      </font>
    </dxf>
    <dxf>
      <alignment vertical="center"/>
    </dxf>
    <dxf>
      <alignment horizontal="center"/>
    </dxf>
    <dxf>
      <font>
        <b/>
      </font>
    </dxf>
    <dxf>
      <alignment vertical="center"/>
    </dxf>
    <dxf>
      <alignment vertical="center"/>
    </dxf>
    <dxf>
      <alignment horizontal="center"/>
    </dxf>
    <dxf>
      <font>
        <sz val="12"/>
      </font>
    </dxf>
    <dxf>
      <font>
        <sz val="12"/>
      </font>
    </dxf>
    <dxf>
      <font>
        <sz val="12"/>
      </font>
    </dxf>
    <dxf>
      <font>
        <sz val="12"/>
      </font>
    </dxf>
    <dxf>
      <font>
        <sz val="12"/>
      </font>
    </dxf>
    <dxf>
      <font>
        <sz val="12"/>
      </font>
    </dxf>
    <dxf>
      <font>
        <sz val="12"/>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alignment horizontal="center"/>
    </dxf>
    <dxf>
      <numFmt numFmtId="1" formatCode="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s>
  <tableStyles count="0" defaultTableStyle="TableStyleMedium2" defaultPivotStyle="PivotStyleLight16"/>
  <colors>
    <mruColors>
      <color rgb="FFC495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styles" Target="style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10.xml"/><Relationship Id="rId17" Type="http://schemas.openxmlformats.org/officeDocument/2006/relationships/connections" Target="connections.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5" Type="http://schemas.openxmlformats.org/officeDocument/2006/relationships/pivotCacheDefinition" Target="pivotCache/pivotCacheDefinition3.xml"/><Relationship Id="rId15" Type="http://schemas.microsoft.com/office/2007/relationships/slicerCache" Target="slicerCaches/slicerCache3.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8.xml"/><Relationship Id="rId19" Type="http://schemas.openxmlformats.org/officeDocument/2006/relationships/sharedStrings" Target="sharedStrings.xml"/><Relationship Id="rId31" Type="http://schemas.openxmlformats.org/officeDocument/2006/relationships/customXml" Target="../customXml/item9.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2.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[Quality Dashboard.xlsx]Dashboard!PivotTable9</c:name>
    <c:fmtId val="0"/>
  </c:pivotSource>
  <c:chart>
    <c:title>
      <c:tx>
        <c:rich>
          <a:bodyPr rot="0" spcFirstLastPara="1" vertOverflow="ellipsis" vert="horz" wrap="square" anchor="ctr" anchorCtr="1"/>
          <a:lstStyle/>
          <a:p>
            <a:pPr>
              <a:defRPr sz="1440" b="1"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IN" b="1"/>
              <a:t>Audit Score</a:t>
            </a:r>
            <a:r>
              <a:rPr lang="en-IN" b="1" baseline="0"/>
              <a:t> by Month</a:t>
            </a:r>
          </a:p>
        </c:rich>
      </c:tx>
      <c:overlay val="0"/>
      <c:spPr>
        <a:noFill/>
        <a:ln>
          <a:noFill/>
        </a:ln>
        <a:effectLst/>
      </c:spPr>
      <c:txPr>
        <a:bodyPr rot="0" spcFirstLastPara="1" vertOverflow="ellipsis" vert="horz" wrap="square" anchor="ctr" anchorCtr="1"/>
        <a:lstStyle/>
        <a:p>
          <a:pPr>
            <a:defRPr sz="1440" b="1"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ivotFmts>
      <c:pivotFmt>
        <c:idx val="0"/>
        <c:spPr>
          <a:ln w="19050" cap="rnd" cmpd="sng" algn="ctr">
            <a:solidFill>
              <a:schemeClr val="tx1"/>
            </a:solidFill>
            <a:round/>
          </a:ln>
          <a:effectLst/>
        </c:spPr>
        <c:marker>
          <c:symbol val="circle"/>
          <c:size val="17"/>
          <c:spPr>
            <a:solidFill>
              <a:schemeClr val="lt1"/>
            </a:solidFill>
            <a:ln>
              <a:noFill/>
            </a:ln>
            <a:effectLst/>
          </c:spPr>
        </c:marker>
        <c:dLbl>
          <c:idx val="0"/>
          <c:spPr>
            <a:solidFill>
              <a:schemeClr val="bg1"/>
            </a:solidFill>
            <a:ln>
              <a:solidFill>
                <a:schemeClr val="tx1"/>
              </a:solid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817998814655359E-2"/>
          <c:y val="0.13701597139095653"/>
          <c:w val="0.91268367970184905"/>
          <c:h val="0.66639836069692104"/>
        </c:manualLayout>
      </c:layout>
      <c:lineChart>
        <c:grouping val="standard"/>
        <c:varyColors val="0"/>
        <c:ser>
          <c:idx val="0"/>
          <c:order val="0"/>
          <c:tx>
            <c:strRef>
              <c:f>Dashboard!$G$12</c:f>
              <c:strCache>
                <c:ptCount val="1"/>
                <c:pt idx="0">
                  <c:v>Total</c:v>
                </c:pt>
              </c:strCache>
            </c:strRef>
          </c:tx>
          <c:spPr>
            <a:ln w="19050" cap="rnd" cmpd="sng" algn="ctr">
              <a:solidFill>
                <a:schemeClr val="tx1"/>
              </a:solidFill>
              <a:round/>
            </a:ln>
            <a:effectLst/>
          </c:spPr>
          <c:marker>
            <c:symbol val="circle"/>
            <c:size val="17"/>
            <c:spPr>
              <a:solidFill>
                <a:schemeClr val="lt1"/>
              </a:solidFill>
              <a:ln>
                <a:noFill/>
              </a:ln>
              <a:effectLst/>
            </c:spPr>
          </c:marker>
          <c:dLbls>
            <c:spPr>
              <a:solidFill>
                <a:schemeClr val="bg1"/>
              </a:solidFill>
              <a:ln>
                <a:solidFill>
                  <a:schemeClr val="tx1"/>
                </a:solid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Dashboard!$F$13:$F$15</c:f>
              <c:strCache>
                <c:ptCount val="3"/>
                <c:pt idx="0">
                  <c:v>January</c:v>
                </c:pt>
                <c:pt idx="1">
                  <c:v>February</c:v>
                </c:pt>
                <c:pt idx="2">
                  <c:v>March</c:v>
                </c:pt>
              </c:strCache>
            </c:strRef>
          </c:cat>
          <c:val>
            <c:numRef>
              <c:f>Dashboard!$G$13:$G$15</c:f>
              <c:numCache>
                <c:formatCode>0</c:formatCode>
                <c:ptCount val="3"/>
                <c:pt idx="0">
                  <c:v>84.421052631578945</c:v>
                </c:pt>
                <c:pt idx="1">
                  <c:v>81.681818181818187</c:v>
                </c:pt>
                <c:pt idx="2">
                  <c:v>84.829787234042556</c:v>
                </c:pt>
              </c:numCache>
            </c:numRef>
          </c:val>
          <c:smooth val="0"/>
          <c:extLst>
            <c:ext xmlns:c16="http://schemas.microsoft.com/office/drawing/2014/chart" uri="{C3380CC4-5D6E-409C-BE32-E72D297353CC}">
              <c16:uniqueId val="{00000000-2F52-43AE-98DF-A2036FAFB4BA}"/>
            </c:ext>
          </c:extLst>
        </c:ser>
        <c:dLbls>
          <c:dLblPos val="ctr"/>
          <c:showLegendKey val="0"/>
          <c:showVal val="1"/>
          <c:showCatName val="0"/>
          <c:showSerName val="0"/>
          <c:showPercent val="0"/>
          <c:showBubbleSize val="0"/>
        </c:dLbls>
        <c:marker val="1"/>
        <c:smooth val="0"/>
        <c:axId val="714568527"/>
        <c:axId val="636907008"/>
      </c:lineChart>
      <c:catAx>
        <c:axId val="714568527"/>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dk1">
                    <a:lumMod val="65000"/>
                    <a:lumOff val="35000"/>
                  </a:schemeClr>
                </a:solidFill>
                <a:latin typeface="+mn-lt"/>
                <a:ea typeface="+mn-ea"/>
                <a:cs typeface="+mn-cs"/>
              </a:defRPr>
            </a:pPr>
            <a:endParaRPr lang="en-US"/>
          </a:p>
        </c:txPr>
        <c:crossAx val="636907008"/>
        <c:crosses val="autoZero"/>
        <c:auto val="1"/>
        <c:lblAlgn val="ctr"/>
        <c:lblOffset val="100"/>
        <c:noMultiLvlLbl val="0"/>
      </c:catAx>
      <c:valAx>
        <c:axId val="636907008"/>
        <c:scaling>
          <c:orientation val="minMax"/>
          <c:min val="80"/>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crossAx val="714568527"/>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[Quality Dashboard.xlsx]Dashboard!PivotTable7</c:name>
    <c:fmtId val="0"/>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scene3d>
            <a:camera prst="orthographicFront"/>
            <a:lightRig rig="brightRoom" dir="t"/>
          </a:scene3d>
          <a:sp3d prstMaterial="flat">
            <a:bevelT w="50800" h="101600" prst="angle"/>
            <a:contourClr>
              <a:srgbClr val="000000"/>
            </a:contourClr>
          </a:sp3d>
        </c:spPr>
        <c:dLbl>
          <c:idx val="0"/>
          <c:layout>
            <c:manualLayout>
              <c:x val="0.17314781308523836"/>
              <c:y val="0.1309854158024143"/>
            </c:manualLayout>
          </c:layout>
          <c:tx>
            <c:rich>
              <a:bodyPr rot="0" spcFirstLastPara="1" vertOverflow="ellipsis" vert="horz" wrap="square" lIns="38100" tIns="19050" rIns="38100" bIns="19050" anchor="ctr" anchorCtr="1">
                <a:noAutofit/>
              </a:bodyPr>
              <a:lstStyle/>
              <a:p>
                <a:pPr>
                  <a:defRPr sz="1400" b="1" i="0" u="none" strike="noStrike" kern="1200" baseline="0">
                    <a:solidFill>
                      <a:sysClr val="windowText" lastClr="000000"/>
                    </a:solidFill>
                    <a:latin typeface="+mn-lt"/>
                    <a:ea typeface="+mn-ea"/>
                    <a:cs typeface="+mn-cs"/>
                  </a:defRPr>
                </a:pPr>
                <a:fld id="{FB9B0957-BD05-4A78-90C7-995B52D1A8E5}" type="PERCENTAGE">
                  <a:rPr lang="en-US" sz="1800"/>
                  <a:pPr>
                    <a:defRPr sz="1400">
                      <a:solidFill>
                        <a:sysClr val="windowText" lastClr="000000"/>
                      </a:solidFill>
                    </a:defRPr>
                  </a:pPr>
                  <a:t>[PERCENTAGE]</a:t>
                </a:fld>
                <a:endParaRPr lang="en-IN"/>
              </a:p>
            </c:rich>
          </c:tx>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ysClr val="windowText" lastClr="000000"/>
                  </a:solidFill>
                  <a:latin typeface="+mn-lt"/>
                  <a:ea typeface="+mn-ea"/>
                  <a:cs typeface="+mn-cs"/>
                </a:defRPr>
              </a:pPr>
              <a:endParaRPr lang="en-IN"/>
            </a:p>
          </c:txPr>
          <c:showLegendKey val="0"/>
          <c:showVal val="0"/>
          <c:showCatName val="0"/>
          <c:showSerName val="0"/>
          <c:showPercent val="1"/>
          <c:showBubbleSize val="0"/>
          <c:extLst>
            <c:ext xmlns:c15="http://schemas.microsoft.com/office/drawing/2012/chart" uri="{CE6537A1-D6FC-4f65-9D91-7224C49458BB}">
              <c15:layout>
                <c:manualLayout>
                  <c:w val="0.17314851332762585"/>
                  <c:h val="0.28607528547929528"/>
                </c:manualLayout>
              </c15:layout>
              <c15:dlblFieldTable/>
              <c15:showDataLabelsRange val="0"/>
            </c:ext>
          </c:extLst>
        </c:dLbl>
      </c:pivotFmt>
      <c:pivotFmt>
        <c:idx val="2"/>
        <c:spPr>
          <a:solidFill>
            <a:srgbClr val="FF0000"/>
          </a:solidFill>
          <a:ln>
            <a:noFill/>
          </a:ln>
          <a:effectLst/>
          <a:scene3d>
            <a:camera prst="orthographicFront"/>
            <a:lightRig rig="brightRoom" dir="t"/>
          </a:scene3d>
          <a:sp3d prstMaterial="flat">
            <a:bevelT w="50800" h="101600" prst="angle"/>
            <a:contourClr>
              <a:srgbClr val="000000"/>
            </a:contourClr>
          </a:sp3d>
        </c:spPr>
        <c:dLbl>
          <c:idx val="0"/>
          <c:layout>
            <c:manualLayout>
              <c:x val="-0.165449196369819"/>
              <c:y val="-7.3033443350739913E-2"/>
            </c:manualLayout>
          </c:layout>
          <c:tx>
            <c:rich>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fld id="{00CA922D-9098-408B-A678-1A3449509691}" type="PERCENTAGE">
                  <a:rPr lang="en-US" sz="1800"/>
                  <a:pPr>
                    <a:defRPr sz="1400">
                      <a:solidFill>
                        <a:sysClr val="windowText" lastClr="000000"/>
                      </a:solidFill>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9237299505031866"/>
          <c:y val="0.14312835107060551"/>
          <c:w val="0.56823277747520351"/>
          <c:h val="0.69434617210751215"/>
        </c:manualLayout>
      </c:layout>
      <c:doughnutChart>
        <c:varyColors val="1"/>
        <c:ser>
          <c:idx val="0"/>
          <c:order val="0"/>
          <c:tx>
            <c:strRef>
              <c:f>Dashboard!$K$4</c:f>
              <c:strCache>
                <c:ptCount val="1"/>
                <c:pt idx="0">
                  <c:v>Total</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0D99-4AC2-8BBD-60F5BE8FB41D}"/>
              </c:ext>
            </c:extLst>
          </c:dPt>
          <c:dPt>
            <c:idx val="1"/>
            <c:bubble3D val="0"/>
            <c:explosion val="12"/>
            <c:spPr>
              <a:solidFill>
                <a:srgbClr val="FF00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D99-4AC2-8BBD-60F5BE8FB41D}"/>
              </c:ext>
            </c:extLst>
          </c:dPt>
          <c:dLbls>
            <c:dLbl>
              <c:idx val="0"/>
              <c:layout>
                <c:manualLayout>
                  <c:x val="0.17314781308523836"/>
                  <c:y val="0.1309854158024143"/>
                </c:manualLayout>
              </c:layout>
              <c:tx>
                <c:rich>
                  <a:bodyPr rot="0" spcFirstLastPara="1" vertOverflow="ellipsis" vert="horz" wrap="square" lIns="38100" tIns="19050" rIns="38100" bIns="19050" anchor="ctr" anchorCtr="1">
                    <a:noAutofit/>
                  </a:bodyPr>
                  <a:lstStyle/>
                  <a:p>
                    <a:pPr>
                      <a:defRPr sz="1400" b="1" i="0" u="none" strike="noStrike" kern="1200" baseline="0">
                        <a:solidFill>
                          <a:sysClr val="windowText" lastClr="000000"/>
                        </a:solidFill>
                        <a:latin typeface="+mn-lt"/>
                        <a:ea typeface="+mn-ea"/>
                        <a:cs typeface="+mn-cs"/>
                      </a:defRPr>
                    </a:pPr>
                    <a:fld id="{FB9B0957-BD05-4A78-90C7-995B52D1A8E5}" type="PERCENTAGE">
                      <a:rPr lang="en-US" sz="1800"/>
                      <a:pPr>
                        <a:defRPr sz="1400">
                          <a:solidFill>
                            <a:sysClr val="windowText" lastClr="000000"/>
                          </a:solidFill>
                        </a:defRPr>
                      </a:pPr>
                      <a:t>[PERCENTAGE]</a:t>
                    </a:fld>
                    <a:endParaRPr lang="en-IN"/>
                  </a:p>
                </c:rich>
              </c:tx>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ysClr val="windowText" lastClr="000000"/>
                      </a:solidFill>
                      <a:latin typeface="+mn-lt"/>
                      <a:ea typeface="+mn-ea"/>
                      <a:cs typeface="+mn-cs"/>
                    </a:defRPr>
                  </a:pPr>
                  <a:endParaRPr lang="en-IN"/>
                </a:p>
              </c:txPr>
              <c:showLegendKey val="0"/>
              <c:showVal val="0"/>
              <c:showCatName val="0"/>
              <c:showSerName val="0"/>
              <c:showPercent val="1"/>
              <c:showBubbleSize val="0"/>
              <c:extLst>
                <c:ext xmlns:c15="http://schemas.microsoft.com/office/drawing/2012/chart" uri="{CE6537A1-D6FC-4f65-9D91-7224C49458BB}">
                  <c15:layout>
                    <c:manualLayout>
                      <c:w val="0.17314851332762585"/>
                      <c:h val="0.28607528547929528"/>
                    </c:manualLayout>
                  </c15:layout>
                  <c15:dlblFieldTable/>
                  <c15:showDataLabelsRange val="0"/>
                </c:ext>
                <c:ext xmlns:c16="http://schemas.microsoft.com/office/drawing/2014/chart" uri="{C3380CC4-5D6E-409C-BE32-E72D297353CC}">
                  <c16:uniqueId val="{00000002-0D99-4AC2-8BBD-60F5BE8FB41D}"/>
                </c:ext>
              </c:extLst>
            </c:dLbl>
            <c:dLbl>
              <c:idx val="1"/>
              <c:layout>
                <c:manualLayout>
                  <c:x val="-0.165449196369819"/>
                  <c:y val="-7.3033443350739913E-2"/>
                </c:manualLayout>
              </c:layout>
              <c:tx>
                <c:rich>
                  <a:bodyPr/>
                  <a:lstStyle/>
                  <a:p>
                    <a:fld id="{00CA922D-9098-408B-A678-1A3449509691}" type="PERCENTAGE">
                      <a:rPr lang="en-US" sz="1800"/>
                      <a:pPr/>
                      <a:t>[PERCENTAGE]</a:t>
                    </a:fld>
                    <a:endParaRPr lang="en-IN"/>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0D99-4AC2-8BBD-60F5BE8FB41D}"/>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Dashboard!$J$5:$J$6</c:f>
              <c:strCache>
                <c:ptCount val="2"/>
                <c:pt idx="0">
                  <c:v>Pass</c:v>
                </c:pt>
                <c:pt idx="1">
                  <c:v>Fail</c:v>
                </c:pt>
              </c:strCache>
            </c:strRef>
          </c:cat>
          <c:val>
            <c:numRef>
              <c:f>Dashboard!$K$5:$K$6</c:f>
              <c:numCache>
                <c:formatCode>0</c:formatCode>
                <c:ptCount val="2"/>
                <c:pt idx="0">
                  <c:v>96</c:v>
                </c:pt>
                <c:pt idx="1">
                  <c:v>52</c:v>
                </c:pt>
              </c:numCache>
            </c:numRef>
          </c:val>
          <c:extLst>
            <c:ext xmlns:c16="http://schemas.microsoft.com/office/drawing/2014/chart" uri="{C3380CC4-5D6E-409C-BE32-E72D297353CC}">
              <c16:uniqueId val="{00000000-0D99-4AC2-8BBD-60F5BE8FB41D}"/>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3807923076978854"/>
          <c:y val="6.5051714202623873E-2"/>
          <c:w val="0.23443544891464979"/>
          <c:h val="0.15973946328170438"/>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[Quality Dashboard.xlsx]Dashboard!PivotTable3</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AVerage</a:t>
            </a:r>
            <a:r>
              <a:rPr lang="en-IN" baseline="0"/>
              <a:t> - Daily Error Trend</a:t>
            </a:r>
            <a:endParaRPr lang="en-IN"/>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ln w="38100" cap="flat" cmpd="dbl" algn="ctr">
            <a:solidFill>
              <a:schemeClr val="accent1"/>
            </a:solidFill>
            <a:miter lim="800000"/>
          </a:ln>
          <a:effectLst/>
        </c:spPr>
        <c:marker>
          <c:spPr>
            <a:solidFill>
              <a:schemeClr val="accent1"/>
            </a:solidFill>
            <a:ln w="9525" cap="flat" cmpd="sng" algn="ctr">
              <a:solidFill>
                <a:schemeClr val="l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8100" cap="flat" cmpd="dbl" algn="ctr">
            <a:solidFill>
              <a:schemeClr val="accent1"/>
            </a:solidFill>
            <a:miter lim="800000"/>
          </a:ln>
          <a:effectLst/>
        </c:spPr>
        <c:marker>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8100" cap="flat" cmpd="dbl" algn="ctr">
            <a:solidFill>
              <a:schemeClr val="accent1"/>
            </a:solidFill>
            <a:miter lim="800000"/>
          </a:ln>
          <a:effectLst/>
        </c:spPr>
        <c:marker>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38100" cap="flat" cmpd="dbl" algn="ctr">
            <a:solidFill>
              <a:schemeClr val="accent1"/>
            </a:solidFill>
            <a:miter lim="800000"/>
          </a:ln>
          <a:effectLst/>
        </c:spPr>
        <c:marker>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3892898354084E-2"/>
          <c:y val="0.14802739078817573"/>
          <c:w val="0.95166141948493022"/>
          <c:h val="0.50961417268755316"/>
        </c:manualLayout>
      </c:layout>
      <c:lineChart>
        <c:grouping val="standard"/>
        <c:varyColors val="0"/>
        <c:ser>
          <c:idx val="0"/>
          <c:order val="0"/>
          <c:tx>
            <c:strRef>
              <c:f>Dashboard!$S$15</c:f>
              <c:strCache>
                <c:ptCount val="1"/>
                <c:pt idx="0">
                  <c:v>Total</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cat>
            <c:strRef>
              <c:f>Dashboard!$R$16:$R$90</c:f>
              <c:strCache>
                <c:ptCount val="74"/>
                <c:pt idx="0">
                  <c:v>01-01-2025</c:v>
                </c:pt>
                <c:pt idx="1">
                  <c:v>02-01-2025</c:v>
                </c:pt>
                <c:pt idx="2">
                  <c:v>04-01-2025</c:v>
                </c:pt>
                <c:pt idx="3">
                  <c:v>05-01-2025</c:v>
                </c:pt>
                <c:pt idx="4">
                  <c:v>06-01-2025</c:v>
                </c:pt>
                <c:pt idx="5">
                  <c:v>07-01-2025</c:v>
                </c:pt>
                <c:pt idx="6">
                  <c:v>10-01-2025</c:v>
                </c:pt>
                <c:pt idx="7">
                  <c:v>11-01-2025</c:v>
                </c:pt>
                <c:pt idx="8">
                  <c:v>12-01-2025</c:v>
                </c:pt>
                <c:pt idx="9">
                  <c:v>13-01-2025</c:v>
                </c:pt>
                <c:pt idx="10">
                  <c:v>14-01-2025</c:v>
                </c:pt>
                <c:pt idx="11">
                  <c:v>15-01-2025</c:v>
                </c:pt>
                <c:pt idx="12">
                  <c:v>16-01-2025</c:v>
                </c:pt>
                <c:pt idx="13">
                  <c:v>19-01-2025</c:v>
                </c:pt>
                <c:pt idx="14">
                  <c:v>20-01-2025</c:v>
                </c:pt>
                <c:pt idx="15">
                  <c:v>21-01-2025</c:v>
                </c:pt>
                <c:pt idx="16">
                  <c:v>22-01-2025</c:v>
                </c:pt>
                <c:pt idx="17">
                  <c:v>23-01-2025</c:v>
                </c:pt>
                <c:pt idx="18">
                  <c:v>24-01-2025</c:v>
                </c:pt>
                <c:pt idx="19">
                  <c:v>25-01-2025</c:v>
                </c:pt>
                <c:pt idx="20">
                  <c:v>26-01-2025</c:v>
                </c:pt>
                <c:pt idx="21">
                  <c:v>27-01-2025</c:v>
                </c:pt>
                <c:pt idx="22">
                  <c:v>28-01-2025</c:v>
                </c:pt>
                <c:pt idx="23">
                  <c:v>29-01-2025</c:v>
                </c:pt>
                <c:pt idx="24">
                  <c:v>30-01-2025</c:v>
                </c:pt>
                <c:pt idx="25">
                  <c:v>01-02-2025</c:v>
                </c:pt>
                <c:pt idx="26">
                  <c:v>03-02-2025</c:v>
                </c:pt>
                <c:pt idx="27">
                  <c:v>04-02-2025</c:v>
                </c:pt>
                <c:pt idx="28">
                  <c:v>06-02-2025</c:v>
                </c:pt>
                <c:pt idx="29">
                  <c:v>07-02-2025</c:v>
                </c:pt>
                <c:pt idx="30">
                  <c:v>08-02-2025</c:v>
                </c:pt>
                <c:pt idx="31">
                  <c:v>09-02-2025</c:v>
                </c:pt>
                <c:pt idx="32">
                  <c:v>11-02-2025</c:v>
                </c:pt>
                <c:pt idx="33">
                  <c:v>12-02-2025</c:v>
                </c:pt>
                <c:pt idx="34">
                  <c:v>13-02-2025</c:v>
                </c:pt>
                <c:pt idx="35">
                  <c:v>14-02-2025</c:v>
                </c:pt>
                <c:pt idx="36">
                  <c:v>15-02-2025</c:v>
                </c:pt>
                <c:pt idx="37">
                  <c:v>16-02-2025</c:v>
                </c:pt>
                <c:pt idx="38">
                  <c:v>17-02-2025</c:v>
                </c:pt>
                <c:pt idx="39">
                  <c:v>18-02-2025</c:v>
                </c:pt>
                <c:pt idx="40">
                  <c:v>19-02-2025</c:v>
                </c:pt>
                <c:pt idx="41">
                  <c:v>20-02-2025</c:v>
                </c:pt>
                <c:pt idx="42">
                  <c:v>21-02-2025</c:v>
                </c:pt>
                <c:pt idx="43">
                  <c:v>22-02-2025</c:v>
                </c:pt>
                <c:pt idx="44">
                  <c:v>23-02-2025</c:v>
                </c:pt>
                <c:pt idx="45">
                  <c:v>24-02-2025</c:v>
                </c:pt>
                <c:pt idx="46">
                  <c:v>26-02-2025</c:v>
                </c:pt>
                <c:pt idx="47">
                  <c:v>27-02-2025</c:v>
                </c:pt>
                <c:pt idx="48">
                  <c:v>28-02-2025</c:v>
                </c:pt>
                <c:pt idx="49">
                  <c:v>01-03-2025</c:v>
                </c:pt>
                <c:pt idx="50">
                  <c:v>02-03-2025</c:v>
                </c:pt>
                <c:pt idx="51">
                  <c:v>03-03-2025</c:v>
                </c:pt>
                <c:pt idx="52">
                  <c:v>04-03-2025</c:v>
                </c:pt>
                <c:pt idx="53">
                  <c:v>05-03-2025</c:v>
                </c:pt>
                <c:pt idx="54">
                  <c:v>07-03-2025</c:v>
                </c:pt>
                <c:pt idx="55">
                  <c:v>08-03-2025</c:v>
                </c:pt>
                <c:pt idx="56">
                  <c:v>10-03-2025</c:v>
                </c:pt>
                <c:pt idx="57">
                  <c:v>11-03-2025</c:v>
                </c:pt>
                <c:pt idx="58">
                  <c:v>12-03-2025</c:v>
                </c:pt>
                <c:pt idx="59">
                  <c:v>13-03-2025</c:v>
                </c:pt>
                <c:pt idx="60">
                  <c:v>15-03-2025</c:v>
                </c:pt>
                <c:pt idx="61">
                  <c:v>16-03-2025</c:v>
                </c:pt>
                <c:pt idx="62">
                  <c:v>17-03-2025</c:v>
                </c:pt>
                <c:pt idx="63">
                  <c:v>18-03-2025</c:v>
                </c:pt>
                <c:pt idx="64">
                  <c:v>19-03-2025</c:v>
                </c:pt>
                <c:pt idx="65">
                  <c:v>20-03-2025</c:v>
                </c:pt>
                <c:pt idx="66">
                  <c:v>21-03-2025</c:v>
                </c:pt>
                <c:pt idx="67">
                  <c:v>22-03-2025</c:v>
                </c:pt>
                <c:pt idx="68">
                  <c:v>24-03-2025</c:v>
                </c:pt>
                <c:pt idx="69">
                  <c:v>25-03-2025</c:v>
                </c:pt>
                <c:pt idx="70">
                  <c:v>26-03-2025</c:v>
                </c:pt>
                <c:pt idx="71">
                  <c:v>27-03-2025</c:v>
                </c:pt>
                <c:pt idx="72">
                  <c:v>28-03-2025</c:v>
                </c:pt>
                <c:pt idx="73">
                  <c:v>30-03-2025</c:v>
                </c:pt>
              </c:strCache>
            </c:strRef>
          </c:cat>
          <c:val>
            <c:numRef>
              <c:f>Dashboard!$S$16:$S$90</c:f>
              <c:numCache>
                <c:formatCode>General</c:formatCode>
                <c:ptCount val="74"/>
                <c:pt idx="0">
                  <c:v>6</c:v>
                </c:pt>
                <c:pt idx="1">
                  <c:v>6.5</c:v>
                </c:pt>
                <c:pt idx="2">
                  <c:v>7</c:v>
                </c:pt>
                <c:pt idx="3">
                  <c:v>7.666666666666667</c:v>
                </c:pt>
                <c:pt idx="4">
                  <c:v>1</c:v>
                </c:pt>
                <c:pt idx="5">
                  <c:v>5</c:v>
                </c:pt>
                <c:pt idx="6">
                  <c:v>6.333333333333333</c:v>
                </c:pt>
                <c:pt idx="7">
                  <c:v>5</c:v>
                </c:pt>
                <c:pt idx="8">
                  <c:v>5.5</c:v>
                </c:pt>
                <c:pt idx="9">
                  <c:v>5.5</c:v>
                </c:pt>
                <c:pt idx="10">
                  <c:v>5</c:v>
                </c:pt>
                <c:pt idx="11">
                  <c:v>8.75</c:v>
                </c:pt>
                <c:pt idx="12">
                  <c:v>6.5</c:v>
                </c:pt>
                <c:pt idx="13">
                  <c:v>7</c:v>
                </c:pt>
                <c:pt idx="14">
                  <c:v>11.333333333333334</c:v>
                </c:pt>
                <c:pt idx="15">
                  <c:v>7.5</c:v>
                </c:pt>
                <c:pt idx="16">
                  <c:v>11</c:v>
                </c:pt>
                <c:pt idx="17">
                  <c:v>4</c:v>
                </c:pt>
                <c:pt idx="18">
                  <c:v>5</c:v>
                </c:pt>
                <c:pt idx="19">
                  <c:v>4</c:v>
                </c:pt>
                <c:pt idx="20">
                  <c:v>6</c:v>
                </c:pt>
                <c:pt idx="21">
                  <c:v>5.5</c:v>
                </c:pt>
                <c:pt idx="22">
                  <c:v>9</c:v>
                </c:pt>
                <c:pt idx="23">
                  <c:v>4.333333333333333</c:v>
                </c:pt>
                <c:pt idx="24">
                  <c:v>6.666666666666667</c:v>
                </c:pt>
                <c:pt idx="25">
                  <c:v>10</c:v>
                </c:pt>
                <c:pt idx="26">
                  <c:v>4</c:v>
                </c:pt>
                <c:pt idx="27">
                  <c:v>8</c:v>
                </c:pt>
                <c:pt idx="28">
                  <c:v>10</c:v>
                </c:pt>
                <c:pt idx="29">
                  <c:v>5.666666666666667</c:v>
                </c:pt>
                <c:pt idx="30">
                  <c:v>9</c:v>
                </c:pt>
                <c:pt idx="31">
                  <c:v>7</c:v>
                </c:pt>
                <c:pt idx="32">
                  <c:v>8</c:v>
                </c:pt>
                <c:pt idx="33">
                  <c:v>7.75</c:v>
                </c:pt>
                <c:pt idx="34">
                  <c:v>5.5</c:v>
                </c:pt>
                <c:pt idx="35">
                  <c:v>9.5</c:v>
                </c:pt>
                <c:pt idx="36">
                  <c:v>3</c:v>
                </c:pt>
                <c:pt idx="37">
                  <c:v>12</c:v>
                </c:pt>
                <c:pt idx="38">
                  <c:v>7.5</c:v>
                </c:pt>
                <c:pt idx="39">
                  <c:v>8.6666666666666661</c:v>
                </c:pt>
                <c:pt idx="40">
                  <c:v>5</c:v>
                </c:pt>
                <c:pt idx="41">
                  <c:v>5.333333333333333</c:v>
                </c:pt>
                <c:pt idx="42">
                  <c:v>6</c:v>
                </c:pt>
                <c:pt idx="43">
                  <c:v>6</c:v>
                </c:pt>
                <c:pt idx="44">
                  <c:v>3.5</c:v>
                </c:pt>
                <c:pt idx="45">
                  <c:v>9.5</c:v>
                </c:pt>
                <c:pt idx="46">
                  <c:v>6</c:v>
                </c:pt>
                <c:pt idx="47">
                  <c:v>7</c:v>
                </c:pt>
                <c:pt idx="48">
                  <c:v>5.5</c:v>
                </c:pt>
                <c:pt idx="49">
                  <c:v>9</c:v>
                </c:pt>
                <c:pt idx="50">
                  <c:v>6.5</c:v>
                </c:pt>
                <c:pt idx="51">
                  <c:v>6.5</c:v>
                </c:pt>
                <c:pt idx="52">
                  <c:v>8</c:v>
                </c:pt>
                <c:pt idx="53">
                  <c:v>5</c:v>
                </c:pt>
                <c:pt idx="54">
                  <c:v>9</c:v>
                </c:pt>
                <c:pt idx="55">
                  <c:v>7</c:v>
                </c:pt>
                <c:pt idx="56">
                  <c:v>4.5</c:v>
                </c:pt>
                <c:pt idx="57">
                  <c:v>11</c:v>
                </c:pt>
                <c:pt idx="58">
                  <c:v>4</c:v>
                </c:pt>
                <c:pt idx="59">
                  <c:v>11</c:v>
                </c:pt>
                <c:pt idx="60">
                  <c:v>8.5</c:v>
                </c:pt>
                <c:pt idx="61">
                  <c:v>2</c:v>
                </c:pt>
                <c:pt idx="62">
                  <c:v>9</c:v>
                </c:pt>
                <c:pt idx="63">
                  <c:v>9.6666666666666661</c:v>
                </c:pt>
                <c:pt idx="64">
                  <c:v>6</c:v>
                </c:pt>
                <c:pt idx="65">
                  <c:v>6.5</c:v>
                </c:pt>
                <c:pt idx="66">
                  <c:v>1</c:v>
                </c:pt>
                <c:pt idx="67">
                  <c:v>10</c:v>
                </c:pt>
                <c:pt idx="68">
                  <c:v>5.5</c:v>
                </c:pt>
                <c:pt idx="69">
                  <c:v>4.666666666666667</c:v>
                </c:pt>
                <c:pt idx="70">
                  <c:v>4.5</c:v>
                </c:pt>
                <c:pt idx="71">
                  <c:v>7</c:v>
                </c:pt>
                <c:pt idx="72">
                  <c:v>8.5</c:v>
                </c:pt>
                <c:pt idx="73">
                  <c:v>5.666666666666667</c:v>
                </c:pt>
              </c:numCache>
            </c:numRef>
          </c:val>
          <c:smooth val="0"/>
          <c:extLst>
            <c:ext xmlns:c16="http://schemas.microsoft.com/office/drawing/2014/chart" uri="{C3380CC4-5D6E-409C-BE32-E72D297353CC}">
              <c16:uniqueId val="{00000005-3A34-4E07-8659-803B8EAF028E}"/>
            </c:ext>
          </c:extLst>
        </c:ser>
        <c:dLbls>
          <c:dLblPos val="ctr"/>
          <c:showLegendKey val="0"/>
          <c:showVal val="0"/>
          <c:showCatName val="0"/>
          <c:showSerName val="0"/>
          <c:showPercent val="0"/>
          <c:showBubbleSize val="0"/>
        </c:dLbls>
        <c:marker val="1"/>
        <c:smooth val="0"/>
        <c:axId val="390063263"/>
        <c:axId val="392396623"/>
      </c:lineChart>
      <c:catAx>
        <c:axId val="390063263"/>
        <c:scaling>
          <c:orientation val="minMax"/>
        </c:scaling>
        <c:delete val="0"/>
        <c:axPos val="b"/>
        <c:numFmt formatCode="[$-14009]dd/mm;@" sourceLinked="0"/>
        <c:majorTickMark val="none"/>
        <c:minorTickMark val="none"/>
        <c:tickLblPos val="nextTo"/>
        <c:spPr>
          <a:noFill/>
          <a:ln w="3175" cap="flat" cmpd="sng" algn="ctr">
            <a:solidFill>
              <a:schemeClr val="tx1">
                <a:lumMod val="15000"/>
                <a:lumOff val="85000"/>
              </a:schemeClr>
            </a:solidFill>
            <a:round/>
            <a:tailEnd type="none" w="med" len="lg"/>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92396623"/>
        <c:crosses val="autoZero"/>
        <c:auto val="1"/>
        <c:lblAlgn val="ctr"/>
        <c:lblOffset val="100"/>
        <c:noMultiLvlLbl val="0"/>
      </c:catAx>
      <c:valAx>
        <c:axId val="392396623"/>
        <c:scaling>
          <c:orientation val="minMax"/>
        </c:scaling>
        <c:delete val="0"/>
        <c:axPos val="l"/>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90063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[Quality Dashboard.xlsx]Dashboard!PivotTable8</c:name>
    <c:fmtId val="2"/>
  </c:pivotSource>
  <c:chart>
    <c:title>
      <c:tx>
        <c:rich>
          <a:bodyPr rot="0" spcFirstLastPara="1" vertOverflow="ellipsis" vert="horz" wrap="square" anchor="ctr" anchorCtr="1"/>
          <a:lstStyle/>
          <a:p>
            <a:pPr>
              <a:defRPr sz="1400" b="1" i="0" u="none" strike="noStrike" kern="1200" cap="all" spc="50" baseline="0">
                <a:solidFill>
                  <a:sysClr val="windowText" lastClr="000000"/>
                </a:solidFill>
                <a:latin typeface="+mn-lt"/>
                <a:ea typeface="+mn-ea"/>
                <a:cs typeface="+mn-cs"/>
              </a:defRPr>
            </a:pPr>
            <a:r>
              <a:rPr lang="en-IN" sz="1400">
                <a:solidFill>
                  <a:sysClr val="windowText" lastClr="000000"/>
                </a:solidFill>
              </a:rPr>
              <a:t>Error Types</a:t>
            </a:r>
          </a:p>
        </c:rich>
      </c:tx>
      <c:layout>
        <c:manualLayout>
          <c:xMode val="edge"/>
          <c:yMode val="edge"/>
          <c:x val="0.33835392859169505"/>
          <c:y val="0.10766320913601923"/>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ysClr val="windowText" lastClr="000000"/>
              </a:solidFill>
              <a:latin typeface="+mn-lt"/>
              <a:ea typeface="+mn-ea"/>
              <a:cs typeface="+mn-cs"/>
            </a:defRPr>
          </a:pPr>
          <a:endParaRPr lang="en-US"/>
        </a:p>
      </c:txPr>
    </c:title>
    <c:autoTitleDeleted val="0"/>
    <c:pivotFmts>
      <c:pivotFmt>
        <c:idx val="0"/>
        <c:spPr>
          <a:solidFill>
            <a:srgbClr val="C00000"/>
          </a:soli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circle"/>
          <c:size val="6"/>
          <c:spPr>
            <a:gradFill>
              <a:gsLst>
                <a:gs pos="0">
                  <a:schemeClr val="accent2"/>
                </a:gs>
                <a:gs pos="46000">
                  <a:schemeClr val="accent2"/>
                </a:gs>
                <a:gs pos="100000">
                  <a:schemeClr val="accent2">
                    <a:lumMod val="20000"/>
                    <a:lumOff val="80000"/>
                    <a:alpha val="0"/>
                  </a:schemeClr>
                </a:gs>
              </a:gsLst>
              <a:path path="circle">
                <a:fillToRect l="50000" t="-80000" r="50000" b="180000"/>
              </a:path>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3"/>
                </a:gs>
                <a:gs pos="46000">
                  <a:schemeClr val="accent3"/>
                </a:gs>
                <a:gs pos="100000">
                  <a:schemeClr val="accent3">
                    <a:lumMod val="20000"/>
                    <a:lumOff val="80000"/>
                    <a:alpha val="0"/>
                  </a:schemeClr>
                </a:gs>
              </a:gsLst>
              <a:path path="circle">
                <a:fillToRect l="50000" t="-80000" r="50000" b="180000"/>
              </a:path>
            </a:gradFill>
            <a:ln w="9525" cap="flat" cmpd="sng" algn="ctr">
              <a:solidFill>
                <a:schemeClr val="accent3">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49500"/>
          </a:solidFill>
          <a:ln>
            <a:noFill/>
          </a:ln>
          <a:effectLst/>
        </c:spPr>
      </c:pivotFmt>
    </c:pivotFmts>
    <c:plotArea>
      <c:layout>
        <c:manualLayout>
          <c:layoutTarget val="inner"/>
          <c:xMode val="edge"/>
          <c:yMode val="edge"/>
          <c:x val="1.8652604900947282E-2"/>
          <c:y val="8.4059577504268276E-2"/>
          <c:w val="0.92989504051721261"/>
          <c:h val="0.78196684759065316"/>
        </c:manualLayout>
      </c:layout>
      <c:barChart>
        <c:barDir val="bar"/>
        <c:grouping val="clustered"/>
        <c:varyColors val="0"/>
        <c:ser>
          <c:idx val="0"/>
          <c:order val="0"/>
          <c:tx>
            <c:strRef>
              <c:f>Dashboard!$N$10</c:f>
              <c:strCache>
                <c:ptCount val="1"/>
                <c:pt idx="0">
                  <c:v>Critical_Errors</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Dashboard!$N$11</c:f>
              <c:strCache>
                <c:ptCount val="1"/>
                <c:pt idx="0">
                  <c:v>Total</c:v>
                </c:pt>
              </c:strCache>
            </c:strRef>
          </c:cat>
          <c:val>
            <c:numRef>
              <c:f>Dashboard!$N$11</c:f>
              <c:numCache>
                <c:formatCode>0</c:formatCode>
                <c:ptCount val="1"/>
                <c:pt idx="0">
                  <c:v>154</c:v>
                </c:pt>
              </c:numCache>
            </c:numRef>
          </c:val>
          <c:extLst>
            <c:ext xmlns:c16="http://schemas.microsoft.com/office/drawing/2014/chart" uri="{C3380CC4-5D6E-409C-BE32-E72D297353CC}">
              <c16:uniqueId val="{00000000-681C-4628-8A98-502C3120FD6B}"/>
            </c:ext>
          </c:extLst>
        </c:ser>
        <c:ser>
          <c:idx val="1"/>
          <c:order val="1"/>
          <c:tx>
            <c:strRef>
              <c:f>Dashboard!$O$10</c:f>
              <c:strCache>
                <c:ptCount val="1"/>
                <c:pt idx="0">
                  <c:v>Major_Errors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Dashboard!$N$11</c:f>
              <c:strCache>
                <c:ptCount val="1"/>
                <c:pt idx="0">
                  <c:v>Total</c:v>
                </c:pt>
              </c:strCache>
            </c:strRef>
          </c:cat>
          <c:val>
            <c:numRef>
              <c:f>Dashboard!$O$11</c:f>
              <c:numCache>
                <c:formatCode>0</c:formatCode>
                <c:ptCount val="1"/>
                <c:pt idx="0">
                  <c:v>273</c:v>
                </c:pt>
              </c:numCache>
            </c:numRef>
          </c:val>
          <c:extLst>
            <c:ext xmlns:c16="http://schemas.microsoft.com/office/drawing/2014/chart" uri="{C3380CC4-5D6E-409C-BE32-E72D297353CC}">
              <c16:uniqueId val="{00000001-681C-4628-8A98-502C3120FD6B}"/>
            </c:ext>
          </c:extLst>
        </c:ser>
        <c:ser>
          <c:idx val="2"/>
          <c:order val="2"/>
          <c:tx>
            <c:strRef>
              <c:f>Dashboard!$P$10</c:f>
              <c:strCache>
                <c:ptCount val="1"/>
                <c:pt idx="0">
                  <c:v>Minor_Errors</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10800000" scaled="1"/>
              <a:tileRect/>
            </a:gradFill>
            <a:ln>
              <a:noFill/>
            </a:ln>
            <a:effectLst/>
          </c:spPr>
          <c:invertIfNegative val="0"/>
          <c:dPt>
            <c:idx val="0"/>
            <c:invertIfNegative val="0"/>
            <c:bubble3D val="0"/>
            <c:spPr>
              <a:solidFill>
                <a:srgbClr val="C49500"/>
              </a:solidFill>
              <a:ln>
                <a:noFill/>
              </a:ln>
              <a:effectLst/>
            </c:spPr>
            <c:extLst>
              <c:ext xmlns:c16="http://schemas.microsoft.com/office/drawing/2014/chart" uri="{C3380CC4-5D6E-409C-BE32-E72D297353CC}">
                <c16:uniqueId val="{00000004-681C-4628-8A98-502C3120FD6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Dashboard!$N$11</c:f>
              <c:strCache>
                <c:ptCount val="1"/>
                <c:pt idx="0">
                  <c:v>Total</c:v>
                </c:pt>
              </c:strCache>
            </c:strRef>
          </c:cat>
          <c:val>
            <c:numRef>
              <c:f>Dashboard!$P$11</c:f>
              <c:numCache>
                <c:formatCode>0</c:formatCode>
                <c:ptCount val="1"/>
                <c:pt idx="0">
                  <c:v>558</c:v>
                </c:pt>
              </c:numCache>
            </c:numRef>
          </c:val>
          <c:extLst>
            <c:ext xmlns:c16="http://schemas.microsoft.com/office/drawing/2014/chart" uri="{C3380CC4-5D6E-409C-BE32-E72D297353CC}">
              <c16:uniqueId val="{00000002-681C-4628-8A98-502C3120FD6B}"/>
            </c:ext>
          </c:extLst>
        </c:ser>
        <c:dLbls>
          <c:dLblPos val="outEnd"/>
          <c:showLegendKey val="0"/>
          <c:showVal val="1"/>
          <c:showCatName val="0"/>
          <c:showSerName val="0"/>
          <c:showPercent val="0"/>
          <c:showBubbleSize val="0"/>
        </c:dLbls>
        <c:gapWidth val="326"/>
        <c:overlap val="-58"/>
        <c:axId val="1291634063"/>
        <c:axId val="392459983"/>
      </c:barChart>
      <c:catAx>
        <c:axId val="1291634063"/>
        <c:scaling>
          <c:orientation val="minMax"/>
        </c:scaling>
        <c:delete val="1"/>
        <c:axPos val="l"/>
        <c:numFmt formatCode="General" sourceLinked="1"/>
        <c:majorTickMark val="none"/>
        <c:minorTickMark val="none"/>
        <c:tickLblPos val="nextTo"/>
        <c:crossAx val="392459983"/>
        <c:crosses val="autoZero"/>
        <c:auto val="1"/>
        <c:lblAlgn val="ctr"/>
        <c:lblOffset val="100"/>
        <c:noMultiLvlLbl val="0"/>
      </c:catAx>
      <c:valAx>
        <c:axId val="392459983"/>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291634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38932</xdr:colOff>
      <xdr:row>7</xdr:row>
      <xdr:rowOff>40071</xdr:rowOff>
    </xdr:from>
    <xdr:to>
      <xdr:col>8</xdr:col>
      <xdr:colOff>115132</xdr:colOff>
      <xdr:row>22</xdr:row>
      <xdr:rowOff>40071</xdr:rowOff>
    </xdr:to>
    <xdr:graphicFrame macro="">
      <xdr:nvGraphicFramePr>
        <xdr:cNvPr id="2" name="Chart 1">
          <a:extLst>
            <a:ext uri="{FF2B5EF4-FFF2-40B4-BE49-F238E27FC236}">
              <a16:creationId xmlns:a16="http://schemas.microsoft.com/office/drawing/2014/main" id="{CDFFE380-1797-4CE3-9025-2084FC71E3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413143</xdr:colOff>
      <xdr:row>6</xdr:row>
      <xdr:rowOff>33322</xdr:rowOff>
    </xdr:from>
    <xdr:to>
      <xdr:col>12</xdr:col>
      <xdr:colOff>409821</xdr:colOff>
      <xdr:row>21</xdr:row>
      <xdr:rowOff>58624</xdr:rowOff>
    </xdr:to>
    <xdr:graphicFrame macro="">
      <xdr:nvGraphicFramePr>
        <xdr:cNvPr id="3" name="Chart 2">
          <a:extLst>
            <a:ext uri="{FF2B5EF4-FFF2-40B4-BE49-F238E27FC236}">
              <a16:creationId xmlns:a16="http://schemas.microsoft.com/office/drawing/2014/main" id="{1224D3AB-6979-C1F4-32C7-751C65939A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195116</xdr:colOff>
      <xdr:row>16</xdr:row>
      <xdr:rowOff>141060</xdr:rowOff>
    </xdr:from>
    <xdr:to>
      <xdr:col>2</xdr:col>
      <xdr:colOff>1143000</xdr:colOff>
      <xdr:row>29</xdr:row>
      <xdr:rowOff>144779</xdr:rowOff>
    </xdr:to>
    <mc:AlternateContent xmlns:mc="http://schemas.openxmlformats.org/markup-compatibility/2006">
      <mc:Choice xmlns:a14="http://schemas.microsoft.com/office/drawing/2010/main" Requires="a14">
        <xdr:graphicFrame macro="">
          <xdr:nvGraphicFramePr>
            <xdr:cNvPr id="6" name="Process">
              <a:extLst>
                <a:ext uri="{FF2B5EF4-FFF2-40B4-BE49-F238E27FC236}">
                  <a16:creationId xmlns:a16="http://schemas.microsoft.com/office/drawing/2014/main" id="{6DC34AF9-1F24-CF81-B8C8-1CA103EA3950}"/>
                </a:ext>
              </a:extLst>
            </xdr:cNvPr>
            <xdr:cNvGraphicFramePr/>
          </xdr:nvGraphicFramePr>
          <xdr:xfrm>
            <a:off x="0" y="0"/>
            <a:ext cx="0" cy="0"/>
          </xdr:xfrm>
          <a:graphic>
            <a:graphicData uri="http://schemas.microsoft.com/office/drawing/2010/slicer">
              <sle:slicer xmlns:sle="http://schemas.microsoft.com/office/drawing/2010/slicer" name="Process"/>
            </a:graphicData>
          </a:graphic>
        </xdr:graphicFrame>
      </mc:Choice>
      <mc:Fallback>
        <xdr:sp macro="" textlink="">
          <xdr:nvSpPr>
            <xdr:cNvPr id="0" name=""/>
            <xdr:cNvSpPr>
              <a:spLocks noTextEdit="1"/>
            </xdr:cNvSpPr>
          </xdr:nvSpPr>
          <xdr:spPr>
            <a:xfrm>
              <a:off x="195116" y="3541627"/>
              <a:ext cx="2642481" cy="23693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95316</xdr:colOff>
      <xdr:row>20</xdr:row>
      <xdr:rowOff>136476</xdr:rowOff>
    </xdr:from>
    <xdr:to>
      <xdr:col>12</xdr:col>
      <xdr:colOff>565891</xdr:colOff>
      <xdr:row>35</xdr:row>
      <xdr:rowOff>56866</xdr:rowOff>
    </xdr:to>
    <xdr:graphicFrame macro="">
      <xdr:nvGraphicFramePr>
        <xdr:cNvPr id="5" name="Chart 4">
          <a:extLst>
            <a:ext uri="{FF2B5EF4-FFF2-40B4-BE49-F238E27FC236}">
              <a16:creationId xmlns:a16="http://schemas.microsoft.com/office/drawing/2014/main" id="{6993576D-130A-DA5B-B139-7ED9D1E479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132080</xdr:colOff>
      <xdr:row>3</xdr:row>
      <xdr:rowOff>12701</xdr:rowOff>
    </xdr:from>
    <xdr:to>
      <xdr:col>16</xdr:col>
      <xdr:colOff>178259</xdr:colOff>
      <xdr:row>6</xdr:row>
      <xdr:rowOff>10585</xdr:rowOff>
    </xdr:to>
    <mc:AlternateContent xmlns:mc="http://schemas.openxmlformats.org/markup-compatibility/2006">
      <mc:Choice xmlns:a14="http://schemas.microsoft.com/office/drawing/2010/main" Requires="a14">
        <xdr:graphicFrame macro="">
          <xdr:nvGraphicFramePr>
            <xdr:cNvPr id="7" name="Month Name">
              <a:extLst>
                <a:ext uri="{FF2B5EF4-FFF2-40B4-BE49-F238E27FC236}">
                  <a16:creationId xmlns:a16="http://schemas.microsoft.com/office/drawing/2014/main" id="{0D6B9A0B-1030-2AB9-D3F3-5323FC534AA5}"/>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13302170" y="626850"/>
              <a:ext cx="3810686" cy="7485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xdr:colOff>
      <xdr:row>13</xdr:row>
      <xdr:rowOff>71120</xdr:rowOff>
    </xdr:from>
    <xdr:to>
      <xdr:col>16</xdr:col>
      <xdr:colOff>550333</xdr:colOff>
      <xdr:row>30</xdr:row>
      <xdr:rowOff>162560</xdr:rowOff>
    </xdr:to>
    <xdr:graphicFrame macro="">
      <xdr:nvGraphicFramePr>
        <xdr:cNvPr id="9" name="Chart 8">
          <a:extLst>
            <a:ext uri="{FF2B5EF4-FFF2-40B4-BE49-F238E27FC236}">
              <a16:creationId xmlns:a16="http://schemas.microsoft.com/office/drawing/2014/main" id="{C225C9AB-9B85-F329-68F0-D3FEAECB31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752201</xdr:colOff>
      <xdr:row>3</xdr:row>
      <xdr:rowOff>53340</xdr:rowOff>
    </xdr:from>
    <xdr:to>
      <xdr:col>22</xdr:col>
      <xdr:colOff>315684</xdr:colOff>
      <xdr:row>30</xdr:row>
      <xdr:rowOff>32658</xdr:rowOff>
    </xdr:to>
    <mc:AlternateContent xmlns:mc="http://schemas.openxmlformats.org/markup-compatibility/2006">
      <mc:Choice xmlns:a14="http://schemas.microsoft.com/office/drawing/2010/main" Requires="a14">
        <xdr:graphicFrame macro="">
          <xdr:nvGraphicFramePr>
            <xdr:cNvPr id="10" name="Employee_Name">
              <a:extLst>
                <a:ext uri="{FF2B5EF4-FFF2-40B4-BE49-F238E27FC236}">
                  <a16:creationId xmlns:a16="http://schemas.microsoft.com/office/drawing/2014/main" id="{71FF48F9-7F31-28C2-C334-ADE7635F03AA}"/>
                </a:ext>
              </a:extLst>
            </xdr:cNvPr>
            <xdr:cNvGraphicFramePr/>
          </xdr:nvGraphicFramePr>
          <xdr:xfrm>
            <a:off x="0" y="0"/>
            <a:ext cx="0" cy="0"/>
          </xdr:xfrm>
          <a:graphic>
            <a:graphicData uri="http://schemas.microsoft.com/office/drawing/2010/slicer">
              <sle:slicer xmlns:sle="http://schemas.microsoft.com/office/drawing/2010/slicer" name="Employee_Name"/>
            </a:graphicData>
          </a:graphic>
        </xdr:graphicFrame>
      </mc:Choice>
      <mc:Fallback>
        <xdr:sp macro="" textlink="">
          <xdr:nvSpPr>
            <xdr:cNvPr id="0" name=""/>
            <xdr:cNvSpPr>
              <a:spLocks noTextEdit="1"/>
            </xdr:cNvSpPr>
          </xdr:nvSpPr>
          <xdr:spPr>
            <a:xfrm>
              <a:off x="17686798" y="667489"/>
              <a:ext cx="2645602" cy="53133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oth G R" refreshedDate="46274.221937731483" createdVersion="5" refreshedVersion="8" minRefreshableVersion="3" recordCount="0" supportSubquery="1" supportAdvancedDrill="1" xr:uid="{443B901E-31F7-4D94-9BB0-A1192F53C894}">
  <cacheSource type="external" connectionId="9"/>
  <cacheFields count="4">
    <cacheField name="[Measures].[Sum of Cases_Audited]" caption="Sum of Cases_Audited" numFmtId="0" hierarchy="39" level="32767"/>
    <cacheField name="[Employee_Master].[Process].[Process]" caption="Process" numFmtId="0" hierarchy="24" level="1">
      <sharedItems count="5">
        <s v="AML"/>
        <s v="Consumer Lending"/>
        <s v="Mortgage"/>
        <s v="Payments"/>
        <s v="WIM"/>
      </sharedItems>
    </cacheField>
    <cacheField name="[Employee_Master].[Employee_Name - Copy].[Employee_Name - Copy]" caption="Employee_Name - Copy" numFmtId="0" hierarchy="33" level="1">
      <sharedItems containsSemiMixedTypes="0" containsNonDate="0" containsString="0"/>
    </cacheField>
    <cacheField name="[Clean_QC_Audit].[Month Name].[Month Name]" caption="Month Name" numFmtId="0" hierarchy="16" level="1">
      <sharedItems containsSemiMixedTypes="0" containsNonDate="0" containsString="0"/>
    </cacheField>
  </cacheFields>
  <cacheHierarchies count="52">
    <cacheHierarchy uniqueName="[Attendance1].[Attendance_ID]" caption="Attendance_ID" attribute="1" defaultMemberUniqueName="[Attendance1].[Attendance_ID].[All]" allUniqueName="[Attendance1].[Attendance_ID].[All]" dimensionUniqueName="[Attendance1]" displayFolder="" count="0" memberValueDatatype="130" unbalanced="0"/>
    <cacheHierarchy uniqueName="[Attendance1].[Date]" caption="Date" attribute="1" time="1" defaultMemberUniqueName="[Attendance1].[Date].[All]" allUniqueName="[Attendance1].[Date].[All]" dimensionUniqueName="[Attendance1]" displayFolder="" count="0" memberValueDatatype="7" unbalanced="0"/>
    <cacheHierarchy uniqueName="[Attendance1].[Employee_ID]" caption="Employee_ID" attribute="1" defaultMemberUniqueName="[Attendance1].[Employee_ID].[All]" allUniqueName="[Attendance1].[Employee_ID].[All]" dimensionUniqueName="[Attendance1]" displayFolder="" count="0" memberValueDatatype="130" unbalanced="0"/>
    <cacheHierarchy uniqueName="[Attendance1].[Attendance_Status]" caption="Attendance_Status" attribute="1" defaultMemberUniqueName="[Attendance1].[Attendance_Status].[All]" allUniqueName="[Attendance1].[Attendance_Status].[All]" dimensionUniqueName="[Attendance1]" displayFolder="" count="0" memberValueDatatype="130" unbalanced="0"/>
    <cacheHierarchy uniqueName="[Attendance1].[Login_Time]" caption="Login_Time" attribute="1" time="1" defaultMemberUniqueName="[Attendance1].[Login_Time].[All]" allUniqueName="[Attendance1].[Login_Time].[All]" dimensionUniqueName="[Attendance1]" displayFolder="" count="0" memberValueDatatype="7" unbalanced="0"/>
    <cacheHierarchy uniqueName="[Attendance1].[Logout_Time]" caption="Logout_Time" attribute="1" time="1" defaultMemberUniqueName="[Attendance1].[Logout_Time].[All]" allUniqueName="[Attendance1].[Logout_Time].[All]" dimensionUniqueName="[Attendance1]" displayFolder="" count="0" memberValueDatatype="7" unbalanced="0"/>
    <cacheHierarchy uniqueName="[Attendance1].[Late_Login]" caption="Late_Login" attribute="1" defaultMemberUniqueName="[Attendance1].[Late_Login].[All]" allUniqueName="[Attendance1].[Late_Login].[All]" dimensionUniqueName="[Attendance1]" displayFolder="" count="0" memberValueDatatype="130" unbalanced="0"/>
    <cacheHierarchy uniqueName="[Clean_QC_Audit].[Audit_ID]" caption="Audit_ID" attribute="1" defaultMemberUniqueName="[Clean_QC_Audit].[Audit_ID].[All]" allUniqueName="[Clean_QC_Audit].[Audit_ID].[All]" dimensionUniqueName="[Clean_QC_Audit]" displayFolder="" count="0" memberValueDatatype="130" unbalanced="0"/>
    <cacheHierarchy uniqueName="[Clean_QC_Audit].[Audit_Date]" caption="Audit_Date" attribute="1" time="1" defaultMemberUniqueName="[Clean_QC_Audit].[Audit_Date].[All]" allUniqueName="[Clean_QC_Audit].[Audit_Date].[All]" dimensionUniqueName="[Clean_QC_Audit]" displayFolder="" count="0" memberValueDatatype="7" unbalanced="0"/>
    <cacheHierarchy uniqueName="[Clean_QC_Audit].[Employee_ID]" caption="Employee_ID" attribute="1" defaultMemberUniqueName="[Clean_QC_Audit].[Employee_ID].[All]" allUniqueName="[Clean_QC_Audit].[Employee_ID].[All]" dimensionUniqueName="[Clean_QC_Audit]" displayFolder="" count="0" memberValueDatatype="130" unbalanced="0"/>
    <cacheHierarchy uniqueName="[Clean_QC_Audit].[Cases_Audited]" caption="Cases_Audited" attribute="1" defaultMemberUniqueName="[Clean_QC_Audit].[Cases_Audited].[All]" allUniqueName="[Clean_QC_Audit].[Cases_Audited].[All]" dimensionUniqueName="[Clean_QC_Audit]" displayFolder="" count="0" memberValueDatatype="20" unbalanced="0"/>
    <cacheHierarchy uniqueName="[Clean_QC_Audit].[Audit_Score]" caption="Audit_Score" attribute="1" defaultMemberUniqueName="[Clean_QC_Audit].[Audit_Score].[All]" allUniqueName="[Clean_QC_Audit].[Audit_Score].[All]" dimensionUniqueName="[Clean_QC_Audit]" displayFolder="" count="0" memberValueDatatype="20" unbalanced="0"/>
    <cacheHierarchy uniqueName="[Clean_QC_Audit].[Critical_Errors]" caption="Critical_Errors" attribute="1" defaultMemberUniqueName="[Clean_QC_Audit].[Critical_Errors].[All]" allUniqueName="[Clean_QC_Audit].[Critical_Errors].[All]" dimensionUniqueName="[Clean_QC_Audit]" displayFolder="" count="0" memberValueDatatype="20" unbalanced="0"/>
    <cacheHierarchy uniqueName="[Clean_QC_Audit].[Major_Errors]" caption="Major_Errors" attribute="1" defaultMemberUniqueName="[Clean_QC_Audit].[Major_Errors].[All]" allUniqueName="[Clean_QC_Audit].[Major_Errors].[All]" dimensionUniqueName="[Clean_QC_Audit]" displayFolder="" count="0" memberValueDatatype="20" unbalanced="0"/>
    <cacheHierarchy uniqueName="[Clean_QC_Audit].[Minor_Errors]" caption="Minor_Errors" attribute="1" defaultMemberUniqueName="[Clean_QC_Audit].[Minor_Errors].[All]" allUniqueName="[Clean_QC_Audit].[Minor_Errors].[All]" dimensionUniqueName="[Clean_QC_Audit]" displayFolder="" count="0" memberValueDatatype="20" unbalanced="0"/>
    <cacheHierarchy uniqueName="[Clean_QC_Audit].[Auditor]" caption="Auditor" attribute="1" defaultMemberUniqueName="[Clean_QC_Audit].[Auditor].[All]" allUniqueName="[Clean_QC_Audit].[Auditor].[All]" dimensionUniqueName="[Clean_QC_Audit]" displayFolder="" count="0" memberValueDatatype="130" unbalanced="0"/>
    <cacheHierarchy uniqueName="[Clean_QC_Audit].[Month Name]" caption="Month Name" attribute="1" defaultMemberUniqueName="[Clean_QC_Audit].[Month Name].[All]" allUniqueName="[Clean_QC_Audit].[Month Name].[All]" dimensionUniqueName="[Clean_QC_Audit]" displayFolder="" count="2" memberValueDatatype="130" unbalanced="0">
      <fieldsUsage count="2">
        <fieldUsage x="-1"/>
        <fieldUsage x="3"/>
      </fieldsUsage>
    </cacheHierarchy>
    <cacheHierarchy uniqueName="[Clean_QC_Audit].[Total Errors]" caption="Total Errors" attribute="1" defaultMemberUniqueName="[Clean_QC_Audit].[Total Errors].[All]" allUniqueName="[Clean_QC_Audit].[Total Errors].[All]" dimensionUniqueName="[Clean_QC_Audit]" displayFolder="" count="0" memberValueDatatype="20" unbalanced="0"/>
    <cacheHierarchy uniqueName="[Clean_QC_Audit].[Audit Result]" caption="Audit Result" attribute="1" defaultMemberUniqueName="[Clean_QC_Audit].[Audit Result].[All]" allUniqueName="[Clean_QC_Audit].[Audit Result].[All]" dimensionUniqueName="[Clean_QC_Audit]" displayFolder="" count="0" memberValueDatatype="130" unbalanced="0"/>
    <cacheHierarchy uniqueName="[Clean_QC_Audit].[Audit_Date (Month)]" caption="Audit_Date (Month)" attribute="1" defaultMemberUniqueName="[Clean_QC_Audit].[Audit_Date (Month)].[All]" allUniqueName="[Clean_QC_Audit].[Audit_Date (Month)].[All]" dimensionUniqueName="[Clean_QC_Audit]" displayFolder="" count="0" memberValueDatatype="130" unbalanced="0"/>
    <cacheHierarchy uniqueName="[Employee_Master].[Employee_ID]" caption="Employee_ID" attribute="1" defaultMemberUniqueName="[Employee_Master].[Employee_ID].[All]" allUniqueName="[Employee_Master].[Employee_ID].[All]" dimensionUniqueName="[Employee_Master]" displayFolder="" count="0" memberValueDatatype="130" unbalanced="0"/>
    <cacheHierarchy uniqueName="[Employee_Master].[Employee_Name]" caption="Employee_Name" attribute="1" defaultMemberUniqueName="[Employee_Master].[Employee_Name].[All]" allUniqueName="[Employee_Master].[Employee_Name].[All]" dimensionUniqueName="[Employee_Master]" displayFolder="" count="2" memberValueDatatype="130" unbalanced="0"/>
    <cacheHierarchy uniqueName="[Employee_Master].[Email]" caption="Email" attribute="1" defaultMemberUniqueName="[Employee_Master].[Email].[All]" allUniqueName="[Employee_Master].[Email].[All]" dimensionUniqueName="[Employee_Master]" displayFolder="" count="0" memberValueDatatype="130" unbalanced="0"/>
    <cacheHierarchy uniqueName="[Employee_Master].[Department]" caption="Department" attribute="1" defaultMemberUniqueName="[Employee_Master].[Department].[All]" allUniqueName="[Employee_Master].[Department].[All]" dimensionUniqueName="[Employee_Master]" displayFolder="" count="0" memberValueDatatype="130" unbalanced="0"/>
    <cacheHierarchy uniqueName="[Employee_Master].[Process]" caption="Process" attribute="1" defaultMemberUniqueName="[Employee_Master].[Process].[All]" allUniqueName="[Employee_Master].[Process].[All]" dimensionUniqueName="[Employee_Master]" displayFolder="" count="2" memberValueDatatype="130" unbalanced="0">
      <fieldsUsage count="2">
        <fieldUsage x="-1"/>
        <fieldUsage x="1"/>
      </fieldsUsage>
    </cacheHierarchy>
    <cacheHierarchy uniqueName="[Employee_Master].[Team]" caption="Team" attribute="1" defaultMemberUniqueName="[Employee_Master].[Team].[All]" allUniqueName="[Employee_Master].[Team].[All]" dimensionUniqueName="[Employee_Master]" displayFolder="" count="0" memberValueDatatype="130" unbalanced="0"/>
    <cacheHierarchy uniqueName="[Employee_Master].[Designation]" caption="Designation" attribute="1" defaultMemberUniqueName="[Employee_Master].[Designation].[All]" allUniqueName="[Employee_Master].[Designation].[All]" dimensionUniqueName="[Employee_Master]" displayFolder="" count="0" memberValueDatatype="130" unbalanced="0"/>
    <cacheHierarchy uniqueName="[Employee_Master].[Manager_ID]" caption="Manager_ID" attribute="1" defaultMemberUniqueName="[Employee_Master].[Manager_ID].[All]" allUniqueName="[Employee_Master].[Manager_ID].[All]" dimensionUniqueName="[Employee_Master]" displayFolder="" count="0" memberValueDatatype="130" unbalanced="0"/>
    <cacheHierarchy uniqueName="[Employee_Master].[Manager_Name]" caption="Manager_Name" attribute="1" defaultMemberUniqueName="[Employee_Master].[Manager_Name].[All]" allUniqueName="[Employee_Master].[Manager_Name].[All]" dimensionUniqueName="[Employee_Master]" displayFolder="" count="0" memberValueDatatype="130" unbalanced="0"/>
    <cacheHierarchy uniqueName="[Employee_Master].[DOJ]" caption="DOJ" attribute="1" time="1" defaultMemberUniqueName="[Employee_Master].[DOJ].[All]" allUniqueName="[Employee_Master].[DOJ].[All]" dimensionUniqueName="[Employee_Master]" displayFolder="" count="0" memberValueDatatype="7" unbalanced="0"/>
    <cacheHierarchy uniqueName="[Employee_Master].[Location]" caption="Location" attribute="1" defaultMemberUniqueName="[Employee_Master].[Location].[All]" allUniqueName="[Employee_Master].[Location].[All]" dimensionUniqueName="[Employee_Master]" displayFolder="" count="0" memberValueDatatype="130" unbalanced="0"/>
    <cacheHierarchy uniqueName="[Employee_Master].[Shift]" caption="Shift" attribute="1" defaultMemberUniqueName="[Employee_Master].[Shift].[All]" allUniqueName="[Employee_Master].[Shift].[All]" dimensionUniqueName="[Employee_Master]" displayFolder="" count="0" memberValueDatatype="130" unbalanced="0"/>
    <cacheHierarchy uniqueName="[Employee_Master].[Status]" caption="Status" attribute="1" defaultMemberUniqueName="[Employee_Master].[Status].[All]" allUniqueName="[Employee_Master].[Status].[All]" dimensionUniqueName="[Employee_Master]" displayFolder="" count="0" memberValueDatatype="130" unbalanced="0"/>
    <cacheHierarchy uniqueName="[Employee_Master].[Employee_Name - Copy]" caption="Employee_Name - Copy" attribute="1" defaultMemberUniqueName="[Employee_Master].[Employee_Name - Copy].[All]" allUniqueName="[Employee_Master].[Employee_Name - Copy].[All]" dimensionUniqueName="[Employee_Master]" displayFolder="" count="2" memberValueDatatype="130" unbalanced="0">
      <fieldsUsage count="2">
        <fieldUsage x="-1"/>
        <fieldUsage x="2"/>
      </fieldsUsage>
    </cacheHierarchy>
    <cacheHierarchy uniqueName="[Clean_QC_Audit].[Audit_Date (Month Index)]" caption="Audit_Date (Month Index)" attribute="1" defaultMemberUniqueName="[Clean_QC_Audit].[Audit_Date (Month Index)].[All]" allUniqueName="[Clean_QC_Audit].[Audit_Date (Month Index)].[All]" dimensionUniqueName="[Clean_QC_Audit]" displayFolder="" count="0" memberValueDatatype="20" unbalanced="0" hidden="1"/>
    <cacheHierarchy uniqueName="[Measures].[__XL_Count Clean_QC_Audit]" caption="__XL_Count Clean_QC_Audit" measure="1" displayFolder="" measureGroup="Clean_QC_Audit" count="0" hidden="1"/>
    <cacheHierarchy uniqueName="[Measures].[__XL_Count Attendance1]" caption="__XL_Count Attendance1" measure="1" displayFolder="" measureGroup="Attendance1" count="0" hidden="1"/>
    <cacheHierarchy uniqueName="[Measures].[__XL_Count Employee_Master]" caption="__XL_Count Employee_Master" measure="1" displayFolder="" measureGroup="Employee_Master" count="0" hidden="1"/>
    <cacheHierarchy uniqueName="[Measures].[__No measures defined]" caption="__No measures defined" measure="1" displayFolder="" count="0" hidden="1"/>
    <cacheHierarchy uniqueName="[Measures].[Sum of Cases_Audited]" caption="Sum of Cases_Audited" measure="1" displayFolder="" measureGroup="Clean_QC_Audit"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Audit_ID]" caption="Count of Audit_ID" measure="1" displayFolder="" measureGroup="Clean_QC_Audit" count="0" hidden="1">
      <extLst>
        <ext xmlns:x15="http://schemas.microsoft.com/office/spreadsheetml/2010/11/main" uri="{B97F6D7D-B522-45F9-BDA1-12C45D357490}">
          <x15:cacheHierarchy aggregatedColumn="7"/>
        </ext>
      </extLst>
    </cacheHierarchy>
    <cacheHierarchy uniqueName="[Measures].[Sum of Audit_Score]" caption="Sum of Audit_Score" measure="1" displayFolder="" measureGroup="Clean_QC_Audit" count="0" hidden="1">
      <extLst>
        <ext xmlns:x15="http://schemas.microsoft.com/office/spreadsheetml/2010/11/main" uri="{B97F6D7D-B522-45F9-BDA1-12C45D357490}">
          <x15:cacheHierarchy aggregatedColumn="11"/>
        </ext>
      </extLst>
    </cacheHierarchy>
    <cacheHierarchy uniqueName="[Measures].[Average of Audit_Score]" caption="Average of Audit_Score" measure="1" displayFolder="" measureGroup="Clean_QC_Audit" count="0" hidden="1">
      <extLst>
        <ext xmlns:x15="http://schemas.microsoft.com/office/spreadsheetml/2010/11/main" uri="{B97F6D7D-B522-45F9-BDA1-12C45D357490}">
          <x15:cacheHierarchy aggregatedColumn="11"/>
        </ext>
      </extLst>
    </cacheHierarchy>
    <cacheHierarchy uniqueName="[Measures].[Max of Audit_Score]" caption="Max of Audit_Score" measure="1" displayFolder="" measureGroup="Clean_QC_Audit" count="0" hidden="1">
      <extLst>
        <ext xmlns:x15="http://schemas.microsoft.com/office/spreadsheetml/2010/11/main" uri="{B97F6D7D-B522-45F9-BDA1-12C45D357490}">
          <x15:cacheHierarchy aggregatedColumn="11"/>
        </ext>
      </extLst>
    </cacheHierarchy>
    <cacheHierarchy uniqueName="[Measures].[Min of Audit_Score]" caption="Min of Audit_Score" measure="1" displayFolder="" measureGroup="Clean_QC_Audit" count="0" hidden="1">
      <extLst>
        <ext xmlns:x15="http://schemas.microsoft.com/office/spreadsheetml/2010/11/main" uri="{B97F6D7D-B522-45F9-BDA1-12C45D357490}">
          <x15:cacheHierarchy aggregatedColumn="11"/>
        </ext>
      </extLst>
    </cacheHierarchy>
    <cacheHierarchy uniqueName="[Measures].[Count of Audit Result]" caption="Count of Audit Result" measure="1" displayFolder="" measureGroup="Clean_QC_Audit" count="0" hidden="1">
      <extLst>
        <ext xmlns:x15="http://schemas.microsoft.com/office/spreadsheetml/2010/11/main" uri="{B97F6D7D-B522-45F9-BDA1-12C45D357490}">
          <x15:cacheHierarchy aggregatedColumn="18"/>
        </ext>
      </extLst>
    </cacheHierarchy>
    <cacheHierarchy uniqueName="[Measures].[Sum of Critical_Errors]" caption="Sum of Critical_Errors" measure="1" displayFolder="" measureGroup="Clean_QC_Audit" count="0" hidden="1">
      <extLst>
        <ext xmlns:x15="http://schemas.microsoft.com/office/spreadsheetml/2010/11/main" uri="{B97F6D7D-B522-45F9-BDA1-12C45D357490}">
          <x15:cacheHierarchy aggregatedColumn="12"/>
        </ext>
      </extLst>
    </cacheHierarchy>
    <cacheHierarchy uniqueName="[Measures].[Sum of Major_Errors]" caption="Sum of Major_Errors" measure="1" displayFolder="" measureGroup="Clean_QC_Audit" count="0" hidden="1">
      <extLst>
        <ext xmlns:x15="http://schemas.microsoft.com/office/spreadsheetml/2010/11/main" uri="{B97F6D7D-B522-45F9-BDA1-12C45D357490}">
          <x15:cacheHierarchy aggregatedColumn="13"/>
        </ext>
      </extLst>
    </cacheHierarchy>
    <cacheHierarchy uniqueName="[Measures].[Sum of Minor_Errors]" caption="Sum of Minor_Errors" measure="1" displayFolder="" measureGroup="Clean_QC_Audit" count="0" hidden="1">
      <extLst>
        <ext xmlns:x15="http://schemas.microsoft.com/office/spreadsheetml/2010/11/main" uri="{B97F6D7D-B522-45F9-BDA1-12C45D357490}">
          <x15:cacheHierarchy aggregatedColumn="14"/>
        </ext>
      </extLst>
    </cacheHierarchy>
    <cacheHierarchy uniqueName="[Measures].[Count of Total Errors]" caption="Count of Total Errors" measure="1" displayFolder="" measureGroup="Clean_QC_Audit" count="0" hidden="1">
      <extLst>
        <ext xmlns:x15="http://schemas.microsoft.com/office/spreadsheetml/2010/11/main" uri="{B97F6D7D-B522-45F9-BDA1-12C45D357490}">
          <x15:cacheHierarchy aggregatedColumn="17"/>
        </ext>
      </extLst>
    </cacheHierarchy>
    <cacheHierarchy uniqueName="[Measures].[Sum of Total Errors]" caption="Sum of Total Errors" measure="1" displayFolder="" measureGroup="Clean_QC_Audit" count="0" hidden="1">
      <extLst>
        <ext xmlns:x15="http://schemas.microsoft.com/office/spreadsheetml/2010/11/main" uri="{B97F6D7D-B522-45F9-BDA1-12C45D357490}">
          <x15:cacheHierarchy aggregatedColumn="17"/>
        </ext>
      </extLst>
    </cacheHierarchy>
    <cacheHierarchy uniqueName="[Measures].[Average of Total Errors]" caption="Average of Total Errors" measure="1" displayFolder="" measureGroup="Clean_QC_Audit" count="0" hidden="1">
      <extLst>
        <ext xmlns:x15="http://schemas.microsoft.com/office/spreadsheetml/2010/11/main" uri="{B97F6D7D-B522-45F9-BDA1-12C45D357490}">
          <x15:cacheHierarchy aggregatedColumn="17"/>
        </ext>
      </extLst>
    </cacheHierarchy>
  </cacheHierarchies>
  <kpis count="0"/>
  <dimensions count="4">
    <dimension name="Attendance1" uniqueName="[Attendance1]" caption="Attendance1"/>
    <dimension name="Clean_QC_Audit" uniqueName="[Clean_QC_Audit]" caption="Clean_QC_Audit"/>
    <dimension name="Employee_Master" uniqueName="[Employee_Master]" caption="Employee_Master"/>
    <dimension measure="1" name="Measures" uniqueName="[Measures]" caption="Measures"/>
  </dimensions>
  <measureGroups count="3">
    <measureGroup name="Attendance1" caption="Attendance1"/>
    <measureGroup name="Clean_QC_Audit" caption="Clean_QC_Audit"/>
    <measureGroup name="Employee_Master" caption="Employee_Master"/>
  </measureGroups>
  <maps count="4">
    <map measureGroup="0"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oth G R" refreshedDate="46274.221937731483" createdVersion="5" refreshedVersion="8" minRefreshableVersion="3" recordCount="0" supportSubquery="1" supportAdvancedDrill="1" xr:uid="{4B53D23C-5439-431F-A7B5-E34AE89B6297}">
  <cacheSource type="external" connectionId="9"/>
  <cacheFields count="2">
    <cacheField name="[Measures].[Sum of Cases_Audited]" caption="Sum of Cases_Audited" numFmtId="0" hierarchy="39" level="32767"/>
    <cacheField name="[Clean_QC_Audit].[Month Name].[Month Name]" caption="Month Name" numFmtId="0" hierarchy="16" level="1">
      <sharedItems containsSemiMixedTypes="0" containsNonDate="0" containsString="0"/>
    </cacheField>
  </cacheFields>
  <cacheHierarchies count="52">
    <cacheHierarchy uniqueName="[Attendance1].[Attendance_ID]" caption="Attendance_ID" attribute="1" defaultMemberUniqueName="[Attendance1].[Attendance_ID].[All]" allUniqueName="[Attendance1].[Attendance_ID].[All]" dimensionUniqueName="[Attendance1]" displayFolder="" count="0" memberValueDatatype="130" unbalanced="0"/>
    <cacheHierarchy uniqueName="[Attendance1].[Date]" caption="Date" attribute="1" time="1" defaultMemberUniqueName="[Attendance1].[Date].[All]" allUniqueName="[Attendance1].[Date].[All]" dimensionUniqueName="[Attendance1]" displayFolder="" count="0" memberValueDatatype="7" unbalanced="0"/>
    <cacheHierarchy uniqueName="[Attendance1].[Employee_ID]" caption="Employee_ID" attribute="1" defaultMemberUniqueName="[Attendance1].[Employee_ID].[All]" allUniqueName="[Attendance1].[Employee_ID].[All]" dimensionUniqueName="[Attendance1]" displayFolder="" count="0" memberValueDatatype="130" unbalanced="0"/>
    <cacheHierarchy uniqueName="[Attendance1].[Attendance_Status]" caption="Attendance_Status" attribute="1" defaultMemberUniqueName="[Attendance1].[Attendance_Status].[All]" allUniqueName="[Attendance1].[Attendance_Status].[All]" dimensionUniqueName="[Attendance1]" displayFolder="" count="0" memberValueDatatype="130" unbalanced="0"/>
    <cacheHierarchy uniqueName="[Attendance1].[Login_Time]" caption="Login_Time" attribute="1" time="1" defaultMemberUniqueName="[Attendance1].[Login_Time].[All]" allUniqueName="[Attendance1].[Login_Time].[All]" dimensionUniqueName="[Attendance1]" displayFolder="" count="0" memberValueDatatype="7" unbalanced="0"/>
    <cacheHierarchy uniqueName="[Attendance1].[Logout_Time]" caption="Logout_Time" attribute="1" time="1" defaultMemberUniqueName="[Attendance1].[Logout_Time].[All]" allUniqueName="[Attendance1].[Logout_Time].[All]" dimensionUniqueName="[Attendance1]" displayFolder="" count="0" memberValueDatatype="7" unbalanced="0"/>
    <cacheHierarchy uniqueName="[Attendance1].[Late_Login]" caption="Late_Login" attribute="1" defaultMemberUniqueName="[Attendance1].[Late_Login].[All]" allUniqueName="[Attendance1].[Late_Login].[All]" dimensionUniqueName="[Attendance1]" displayFolder="" count="0" memberValueDatatype="130" unbalanced="0"/>
    <cacheHierarchy uniqueName="[Clean_QC_Audit].[Audit_ID]" caption="Audit_ID" attribute="1" defaultMemberUniqueName="[Clean_QC_Audit].[Audit_ID].[All]" allUniqueName="[Clean_QC_Audit].[Audit_ID].[All]" dimensionUniqueName="[Clean_QC_Audit]" displayFolder="" count="0" memberValueDatatype="130" unbalanced="0"/>
    <cacheHierarchy uniqueName="[Clean_QC_Audit].[Audit_Date]" caption="Audit_Date" attribute="1" time="1" defaultMemberUniqueName="[Clean_QC_Audit].[Audit_Date].[All]" allUniqueName="[Clean_QC_Audit].[Audit_Date].[All]" dimensionUniqueName="[Clean_QC_Audit]" displayFolder="" count="0" memberValueDatatype="7" unbalanced="0"/>
    <cacheHierarchy uniqueName="[Clean_QC_Audit].[Employee_ID]" caption="Employee_ID" attribute="1" defaultMemberUniqueName="[Clean_QC_Audit].[Employee_ID].[All]" allUniqueName="[Clean_QC_Audit].[Employee_ID].[All]" dimensionUniqueName="[Clean_QC_Audit]" displayFolder="" count="0" memberValueDatatype="130" unbalanced="0"/>
    <cacheHierarchy uniqueName="[Clean_QC_Audit].[Cases_Audited]" caption="Cases_Audited" attribute="1" defaultMemberUniqueName="[Clean_QC_Audit].[Cases_Audited].[All]" allUniqueName="[Clean_QC_Audit].[Cases_Audited].[All]" dimensionUniqueName="[Clean_QC_Audit]" displayFolder="" count="0" memberValueDatatype="20" unbalanced="0"/>
    <cacheHierarchy uniqueName="[Clean_QC_Audit].[Audit_Score]" caption="Audit_Score" attribute="1" defaultMemberUniqueName="[Clean_QC_Audit].[Audit_Score].[All]" allUniqueName="[Clean_QC_Audit].[Audit_Score].[All]" dimensionUniqueName="[Clean_QC_Audit]" displayFolder="" count="0" memberValueDatatype="20" unbalanced="0"/>
    <cacheHierarchy uniqueName="[Clean_QC_Audit].[Critical_Errors]" caption="Critical_Errors" attribute="1" defaultMemberUniqueName="[Clean_QC_Audit].[Critical_Errors].[All]" allUniqueName="[Clean_QC_Audit].[Critical_Errors].[All]" dimensionUniqueName="[Clean_QC_Audit]" displayFolder="" count="0" memberValueDatatype="20" unbalanced="0"/>
    <cacheHierarchy uniqueName="[Clean_QC_Audit].[Major_Errors]" caption="Major_Errors" attribute="1" defaultMemberUniqueName="[Clean_QC_Audit].[Major_Errors].[All]" allUniqueName="[Clean_QC_Audit].[Major_Errors].[All]" dimensionUniqueName="[Clean_QC_Audit]" displayFolder="" count="0" memberValueDatatype="20" unbalanced="0"/>
    <cacheHierarchy uniqueName="[Clean_QC_Audit].[Minor_Errors]" caption="Minor_Errors" attribute="1" defaultMemberUniqueName="[Clean_QC_Audit].[Minor_Errors].[All]" allUniqueName="[Clean_QC_Audit].[Minor_Errors].[All]" dimensionUniqueName="[Clean_QC_Audit]" displayFolder="" count="0" memberValueDatatype="20" unbalanced="0"/>
    <cacheHierarchy uniqueName="[Clean_QC_Audit].[Auditor]" caption="Auditor" attribute="1" defaultMemberUniqueName="[Clean_QC_Audit].[Auditor].[All]" allUniqueName="[Clean_QC_Audit].[Auditor].[All]" dimensionUniqueName="[Clean_QC_Audit]" displayFolder="" count="0" memberValueDatatype="130" unbalanced="0"/>
    <cacheHierarchy uniqueName="[Clean_QC_Audit].[Month Name]" caption="Month Name" attribute="1" defaultMemberUniqueName="[Clean_QC_Audit].[Month Name].[All]" allUniqueName="[Clean_QC_Audit].[Month Name].[All]" dimensionUniqueName="[Clean_QC_Audit]" displayFolder="" count="2" memberValueDatatype="130" unbalanced="0">
      <fieldsUsage count="2">
        <fieldUsage x="-1"/>
        <fieldUsage x="1"/>
      </fieldsUsage>
    </cacheHierarchy>
    <cacheHierarchy uniqueName="[Clean_QC_Audit].[Total Errors]" caption="Total Errors" attribute="1" defaultMemberUniqueName="[Clean_QC_Audit].[Total Errors].[All]" allUniqueName="[Clean_QC_Audit].[Total Errors].[All]" dimensionUniqueName="[Clean_QC_Audit]" displayFolder="" count="0" memberValueDatatype="20" unbalanced="0"/>
    <cacheHierarchy uniqueName="[Clean_QC_Audit].[Audit Result]" caption="Audit Result" attribute="1" defaultMemberUniqueName="[Clean_QC_Audit].[Audit Result].[All]" allUniqueName="[Clean_QC_Audit].[Audit Result].[All]" dimensionUniqueName="[Clean_QC_Audit]" displayFolder="" count="0" memberValueDatatype="130" unbalanced="0"/>
    <cacheHierarchy uniqueName="[Clean_QC_Audit].[Audit_Date (Month)]" caption="Audit_Date (Month)" attribute="1" defaultMemberUniqueName="[Clean_QC_Audit].[Audit_Date (Month)].[All]" allUniqueName="[Clean_QC_Audit].[Audit_Date (Month)].[All]" dimensionUniqueName="[Clean_QC_Audit]" displayFolder="" count="0" memberValueDatatype="130" unbalanced="0"/>
    <cacheHierarchy uniqueName="[Employee_Master].[Employee_ID]" caption="Employee_ID" attribute="1" defaultMemberUniqueName="[Employee_Master].[Employee_ID].[All]" allUniqueName="[Employee_Master].[Employee_ID].[All]" dimensionUniqueName="[Employee_Master]" displayFolder="" count="0" memberValueDatatype="130" unbalanced="0"/>
    <cacheHierarchy uniqueName="[Employee_Master].[Employee_Name]" caption="Employee_Name" attribute="1" defaultMemberUniqueName="[Employee_Master].[Employee_Name].[All]" allUniqueName="[Employee_Master].[Employee_Name].[All]" dimensionUniqueName="[Employee_Master]" displayFolder="" count="0" memberValueDatatype="130" unbalanced="0"/>
    <cacheHierarchy uniqueName="[Employee_Master].[Email]" caption="Email" attribute="1" defaultMemberUniqueName="[Employee_Master].[Email].[All]" allUniqueName="[Employee_Master].[Email].[All]" dimensionUniqueName="[Employee_Master]" displayFolder="" count="0" memberValueDatatype="130" unbalanced="0"/>
    <cacheHierarchy uniqueName="[Employee_Master].[Department]" caption="Department" attribute="1" defaultMemberUniqueName="[Employee_Master].[Department].[All]" allUniqueName="[Employee_Master].[Department].[All]" dimensionUniqueName="[Employee_Master]" displayFolder="" count="0" memberValueDatatype="130" unbalanced="0"/>
    <cacheHierarchy uniqueName="[Employee_Master].[Process]" caption="Process" attribute="1" defaultMemberUniqueName="[Employee_Master].[Process].[All]" allUniqueName="[Employee_Master].[Process].[All]" dimensionUniqueName="[Employee_Master]" displayFolder="" count="2" memberValueDatatype="130" unbalanced="0"/>
    <cacheHierarchy uniqueName="[Employee_Master].[Team]" caption="Team" attribute="1" defaultMemberUniqueName="[Employee_Master].[Team].[All]" allUniqueName="[Employee_Master].[Team].[All]" dimensionUniqueName="[Employee_Master]" displayFolder="" count="0" memberValueDatatype="130" unbalanced="0"/>
    <cacheHierarchy uniqueName="[Employee_Master].[Designation]" caption="Designation" attribute="1" defaultMemberUniqueName="[Employee_Master].[Designation].[All]" allUniqueName="[Employee_Master].[Designation].[All]" dimensionUniqueName="[Employee_Master]" displayFolder="" count="0" memberValueDatatype="130" unbalanced="0"/>
    <cacheHierarchy uniqueName="[Employee_Master].[Manager_ID]" caption="Manager_ID" attribute="1" defaultMemberUniqueName="[Employee_Master].[Manager_ID].[All]" allUniqueName="[Employee_Master].[Manager_ID].[All]" dimensionUniqueName="[Employee_Master]" displayFolder="" count="0" memberValueDatatype="130" unbalanced="0"/>
    <cacheHierarchy uniqueName="[Employee_Master].[Manager_Name]" caption="Manager_Name" attribute="1" defaultMemberUniqueName="[Employee_Master].[Manager_Name].[All]" allUniqueName="[Employee_Master].[Manager_Name].[All]" dimensionUniqueName="[Employee_Master]" displayFolder="" count="0" memberValueDatatype="130" unbalanced="0"/>
    <cacheHierarchy uniqueName="[Employee_Master].[DOJ]" caption="DOJ" attribute="1" time="1" defaultMemberUniqueName="[Employee_Master].[DOJ].[All]" allUniqueName="[Employee_Master].[DOJ].[All]" dimensionUniqueName="[Employee_Master]" displayFolder="" count="0" memberValueDatatype="7" unbalanced="0"/>
    <cacheHierarchy uniqueName="[Employee_Master].[Location]" caption="Location" attribute="1" defaultMemberUniqueName="[Employee_Master].[Location].[All]" allUniqueName="[Employee_Master].[Location].[All]" dimensionUniqueName="[Employee_Master]" displayFolder="" count="0" memberValueDatatype="130" unbalanced="0"/>
    <cacheHierarchy uniqueName="[Employee_Master].[Shift]" caption="Shift" attribute="1" defaultMemberUniqueName="[Employee_Master].[Shift].[All]" allUniqueName="[Employee_Master].[Shift].[All]" dimensionUniqueName="[Employee_Master]" displayFolder="" count="0" memberValueDatatype="130" unbalanced="0"/>
    <cacheHierarchy uniqueName="[Employee_Master].[Status]" caption="Status" attribute="1" defaultMemberUniqueName="[Employee_Master].[Status].[All]" allUniqueName="[Employee_Master].[Status].[All]" dimensionUniqueName="[Employee_Master]" displayFolder="" count="0" memberValueDatatype="130" unbalanced="0"/>
    <cacheHierarchy uniqueName="[Employee_Master].[Employee_Name - Copy]" caption="Employee_Name - Copy" attribute="1" defaultMemberUniqueName="[Employee_Master].[Employee_Name - Copy].[All]" allUniqueName="[Employee_Master].[Employee_Name - Copy].[All]" dimensionUniqueName="[Employee_Master]" displayFolder="" count="0" memberValueDatatype="130" unbalanced="0"/>
    <cacheHierarchy uniqueName="[Clean_QC_Audit].[Audit_Date (Month Index)]" caption="Audit_Date (Month Index)" attribute="1" defaultMemberUniqueName="[Clean_QC_Audit].[Audit_Date (Month Index)].[All]" allUniqueName="[Clean_QC_Audit].[Audit_Date (Month Index)].[All]" dimensionUniqueName="[Clean_QC_Audit]" displayFolder="" count="0" memberValueDatatype="20" unbalanced="0" hidden="1"/>
    <cacheHierarchy uniqueName="[Measures].[__XL_Count Clean_QC_Audit]" caption="__XL_Count Clean_QC_Audit" measure="1" displayFolder="" measureGroup="Clean_QC_Audit" count="0" hidden="1"/>
    <cacheHierarchy uniqueName="[Measures].[__XL_Count Attendance1]" caption="__XL_Count Attendance1" measure="1" displayFolder="" measureGroup="Attendance1" count="0" hidden="1"/>
    <cacheHierarchy uniqueName="[Measures].[__XL_Count Employee_Master]" caption="__XL_Count Employee_Master" measure="1" displayFolder="" measureGroup="Employee_Master" count="0" hidden="1"/>
    <cacheHierarchy uniqueName="[Measures].[__No measures defined]" caption="__No measures defined" measure="1" displayFolder="" count="0" hidden="1"/>
    <cacheHierarchy uniqueName="[Measures].[Sum of Cases_Audited]" caption="Sum of Cases_Audited" measure="1" displayFolder="" measureGroup="Clean_QC_Audit"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Audit_ID]" caption="Count of Audit_ID" measure="1" displayFolder="" measureGroup="Clean_QC_Audit" count="0" hidden="1">
      <extLst>
        <ext xmlns:x15="http://schemas.microsoft.com/office/spreadsheetml/2010/11/main" uri="{B97F6D7D-B522-45F9-BDA1-12C45D357490}">
          <x15:cacheHierarchy aggregatedColumn="7"/>
        </ext>
      </extLst>
    </cacheHierarchy>
    <cacheHierarchy uniqueName="[Measures].[Sum of Audit_Score]" caption="Sum of Audit_Score" measure="1" displayFolder="" measureGroup="Clean_QC_Audit" count="0" hidden="1">
      <extLst>
        <ext xmlns:x15="http://schemas.microsoft.com/office/spreadsheetml/2010/11/main" uri="{B97F6D7D-B522-45F9-BDA1-12C45D357490}">
          <x15:cacheHierarchy aggregatedColumn="11"/>
        </ext>
      </extLst>
    </cacheHierarchy>
    <cacheHierarchy uniqueName="[Measures].[Average of Audit_Score]" caption="Average of Audit_Score" measure="1" displayFolder="" measureGroup="Clean_QC_Audit" count="0" hidden="1">
      <extLst>
        <ext xmlns:x15="http://schemas.microsoft.com/office/spreadsheetml/2010/11/main" uri="{B97F6D7D-B522-45F9-BDA1-12C45D357490}">
          <x15:cacheHierarchy aggregatedColumn="11"/>
        </ext>
      </extLst>
    </cacheHierarchy>
    <cacheHierarchy uniqueName="[Measures].[Max of Audit_Score]" caption="Max of Audit_Score" measure="1" displayFolder="" measureGroup="Clean_QC_Audit" count="0" hidden="1">
      <extLst>
        <ext xmlns:x15="http://schemas.microsoft.com/office/spreadsheetml/2010/11/main" uri="{B97F6D7D-B522-45F9-BDA1-12C45D357490}">
          <x15:cacheHierarchy aggregatedColumn="11"/>
        </ext>
      </extLst>
    </cacheHierarchy>
    <cacheHierarchy uniqueName="[Measures].[Min of Audit_Score]" caption="Min of Audit_Score" measure="1" displayFolder="" measureGroup="Clean_QC_Audit" count="0" hidden="1">
      <extLst>
        <ext xmlns:x15="http://schemas.microsoft.com/office/spreadsheetml/2010/11/main" uri="{B97F6D7D-B522-45F9-BDA1-12C45D357490}">
          <x15:cacheHierarchy aggregatedColumn="11"/>
        </ext>
      </extLst>
    </cacheHierarchy>
    <cacheHierarchy uniqueName="[Measures].[Count of Audit Result]" caption="Count of Audit Result" measure="1" displayFolder="" measureGroup="Clean_QC_Audit" count="0" hidden="1">
      <extLst>
        <ext xmlns:x15="http://schemas.microsoft.com/office/spreadsheetml/2010/11/main" uri="{B97F6D7D-B522-45F9-BDA1-12C45D357490}">
          <x15:cacheHierarchy aggregatedColumn="18"/>
        </ext>
      </extLst>
    </cacheHierarchy>
    <cacheHierarchy uniqueName="[Measures].[Sum of Critical_Errors]" caption="Sum of Critical_Errors" measure="1" displayFolder="" measureGroup="Clean_QC_Audit" count="0" hidden="1">
      <extLst>
        <ext xmlns:x15="http://schemas.microsoft.com/office/spreadsheetml/2010/11/main" uri="{B97F6D7D-B522-45F9-BDA1-12C45D357490}">
          <x15:cacheHierarchy aggregatedColumn="12"/>
        </ext>
      </extLst>
    </cacheHierarchy>
    <cacheHierarchy uniqueName="[Measures].[Sum of Major_Errors]" caption="Sum of Major_Errors" measure="1" displayFolder="" measureGroup="Clean_QC_Audit" count="0" hidden="1">
      <extLst>
        <ext xmlns:x15="http://schemas.microsoft.com/office/spreadsheetml/2010/11/main" uri="{B97F6D7D-B522-45F9-BDA1-12C45D357490}">
          <x15:cacheHierarchy aggregatedColumn="13"/>
        </ext>
      </extLst>
    </cacheHierarchy>
    <cacheHierarchy uniqueName="[Measures].[Sum of Minor_Errors]" caption="Sum of Minor_Errors" measure="1" displayFolder="" measureGroup="Clean_QC_Audit" count="0" hidden="1">
      <extLst>
        <ext xmlns:x15="http://schemas.microsoft.com/office/spreadsheetml/2010/11/main" uri="{B97F6D7D-B522-45F9-BDA1-12C45D357490}">
          <x15:cacheHierarchy aggregatedColumn="14"/>
        </ext>
      </extLst>
    </cacheHierarchy>
    <cacheHierarchy uniqueName="[Measures].[Count of Total Errors]" caption="Count of Total Errors" measure="1" displayFolder="" measureGroup="Clean_QC_Audit" count="0" hidden="1">
      <extLst>
        <ext xmlns:x15="http://schemas.microsoft.com/office/spreadsheetml/2010/11/main" uri="{B97F6D7D-B522-45F9-BDA1-12C45D357490}">
          <x15:cacheHierarchy aggregatedColumn="17"/>
        </ext>
      </extLst>
    </cacheHierarchy>
    <cacheHierarchy uniqueName="[Measures].[Sum of Total Errors]" caption="Sum of Total Errors" measure="1" displayFolder="" measureGroup="Clean_QC_Audit" count="0" hidden="1">
      <extLst>
        <ext xmlns:x15="http://schemas.microsoft.com/office/spreadsheetml/2010/11/main" uri="{B97F6D7D-B522-45F9-BDA1-12C45D357490}">
          <x15:cacheHierarchy aggregatedColumn="17"/>
        </ext>
      </extLst>
    </cacheHierarchy>
    <cacheHierarchy uniqueName="[Measures].[Average of Total Errors]" caption="Average of Total Errors" measure="1" displayFolder="" measureGroup="Clean_QC_Audit" count="0" hidden="1">
      <extLst>
        <ext xmlns:x15="http://schemas.microsoft.com/office/spreadsheetml/2010/11/main" uri="{B97F6D7D-B522-45F9-BDA1-12C45D357490}">
          <x15:cacheHierarchy aggregatedColumn="17"/>
        </ext>
      </extLst>
    </cacheHierarchy>
  </cacheHierarchies>
  <kpis count="0"/>
  <dimensions count="4">
    <dimension name="Attendance1" uniqueName="[Attendance1]" caption="Attendance1"/>
    <dimension name="Clean_QC_Audit" uniqueName="[Clean_QC_Audit]" caption="Clean_QC_Audit"/>
    <dimension name="Employee_Master" uniqueName="[Employee_Master]" caption="Employee_Master"/>
    <dimension measure="1" name="Measures" uniqueName="[Measures]" caption="Measures"/>
  </dimensions>
  <measureGroups count="3">
    <measureGroup name="Attendance1" caption="Attendance1"/>
    <measureGroup name="Clean_QC_Audit" caption="Clean_QC_Audit"/>
    <measureGroup name="Employee_Master" caption="Employee_Master"/>
  </measureGroups>
  <maps count="4">
    <map measureGroup="0"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oth G R" refreshedDate="46274.221938310184" createdVersion="5" refreshedVersion="8" minRefreshableVersion="3" recordCount="0" supportSubquery="1" supportAdvancedDrill="1" xr:uid="{FF8D6161-878E-48EC-97D5-DE274D26D3B6}">
  <cacheSource type="external" connectionId="9"/>
  <cacheFields count="4">
    <cacheField name="[Employee_Master].[Employee_Name - Copy].[Employee_Name - Copy]" caption="Employee_Name - Copy" numFmtId="0" hierarchy="33" level="1">
      <sharedItems containsSemiMixedTypes="0" containsNonDate="0" containsString="0"/>
    </cacheField>
    <cacheField name="[Clean_QC_Audit].[Audit_Date].[Audit_Date]" caption="Audit_Date" numFmtId="0" hierarchy="8" level="1">
      <sharedItems containsSemiMixedTypes="0" containsNonDate="0" containsDate="1" containsString="0" minDate="2025-01-01T00:00:00" maxDate="2025-03-31T00:00:00" count="74">
        <d v="2025-01-01T00:00:00"/>
        <d v="2025-01-02T00:00:00"/>
        <d v="2025-01-04T00:00:00"/>
        <d v="2025-01-05T00:00:00"/>
        <d v="2025-01-06T00:00:00"/>
        <d v="2025-01-07T00:00:00"/>
        <d v="2025-01-10T00:00:00"/>
        <d v="2025-01-11T00:00:00"/>
        <d v="2025-01-12T00:00:00"/>
        <d v="2025-01-13T00:00:00"/>
        <d v="2025-01-14T00:00:00"/>
        <d v="2025-01-15T00:00:00"/>
        <d v="2025-01-16T00:00:00"/>
        <d v="2025-01-19T00:00:00"/>
        <d v="2025-01-20T00:00:00"/>
        <d v="2025-01-21T00:00:00"/>
        <d v="2025-01-22T00:00:00"/>
        <d v="2025-01-23T00:00:00"/>
        <d v="2025-01-24T00:00:00"/>
        <d v="2025-01-25T00:00:00"/>
        <d v="2025-01-26T00:00:00"/>
        <d v="2025-01-27T00:00:00"/>
        <d v="2025-01-28T00:00:00"/>
        <d v="2025-01-29T00:00:00"/>
        <d v="2025-01-30T00:00:00"/>
        <d v="2025-02-01T00:00:00"/>
        <d v="2025-02-03T00:00:00"/>
        <d v="2025-02-04T00:00:00"/>
        <d v="2025-02-06T00:00:00"/>
        <d v="2025-02-07T00:00:00"/>
        <d v="2025-02-08T00:00:00"/>
        <d v="2025-02-09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6T00:00:00"/>
        <d v="2025-02-27T00:00:00"/>
        <d v="2025-02-28T00:00:00"/>
        <d v="2025-03-01T00:00:00"/>
        <d v="2025-03-02T00:00:00"/>
        <d v="2025-03-03T00:00:00"/>
        <d v="2025-03-04T00:00:00"/>
        <d v="2025-03-05T00:00:00"/>
        <d v="2025-03-07T00:00:00"/>
        <d v="2025-03-08T00:00:00"/>
        <d v="2025-03-10T00:00:00"/>
        <d v="2025-03-11T00:00:00"/>
        <d v="2025-03-12T00:00:00"/>
        <d v="2025-03-13T00:00:00"/>
        <d v="2025-03-15T00:00:00"/>
        <d v="2025-03-16T00:00:00"/>
        <d v="2025-03-17T00:00:00"/>
        <d v="2025-03-18T00:00:00"/>
        <d v="2025-03-19T00:00:00"/>
        <d v="2025-03-20T00:00:00"/>
        <d v="2025-03-21T00:00:00"/>
        <d v="2025-03-22T00:00:00"/>
        <d v="2025-03-24T00:00:00"/>
        <d v="2025-03-25T00:00:00"/>
        <d v="2025-03-26T00:00:00"/>
        <d v="2025-03-27T00:00:00"/>
        <d v="2025-03-28T00:00:00"/>
        <d v="2025-03-30T00:00:00"/>
      </sharedItems>
    </cacheField>
    <cacheField name="[Measures].[Average of Total Errors]" caption="Average of Total Errors" numFmtId="0" hierarchy="51" level="32767"/>
    <cacheField name="[Clean_QC_Audit].[Month Name].[Month Name]" caption="Month Name" numFmtId="0" hierarchy="16" level="1">
      <sharedItems containsSemiMixedTypes="0" containsNonDate="0" containsString="0"/>
    </cacheField>
  </cacheFields>
  <cacheHierarchies count="52">
    <cacheHierarchy uniqueName="[Attendance1].[Attendance_ID]" caption="Attendance_ID" attribute="1" defaultMemberUniqueName="[Attendance1].[Attendance_ID].[All]" allUniqueName="[Attendance1].[Attendance_ID].[All]" dimensionUniqueName="[Attendance1]" displayFolder="" count="0" memberValueDatatype="130" unbalanced="0"/>
    <cacheHierarchy uniqueName="[Attendance1].[Date]" caption="Date" attribute="1" time="1" defaultMemberUniqueName="[Attendance1].[Date].[All]" allUniqueName="[Attendance1].[Date].[All]" dimensionUniqueName="[Attendance1]" displayFolder="" count="0" memberValueDatatype="7" unbalanced="0"/>
    <cacheHierarchy uniqueName="[Attendance1].[Employee_ID]" caption="Employee_ID" attribute="1" defaultMemberUniqueName="[Attendance1].[Employee_ID].[All]" allUniqueName="[Attendance1].[Employee_ID].[All]" dimensionUniqueName="[Attendance1]" displayFolder="" count="0" memberValueDatatype="130" unbalanced="0"/>
    <cacheHierarchy uniqueName="[Attendance1].[Attendance_Status]" caption="Attendance_Status" attribute="1" defaultMemberUniqueName="[Attendance1].[Attendance_Status].[All]" allUniqueName="[Attendance1].[Attendance_Status].[All]" dimensionUniqueName="[Attendance1]" displayFolder="" count="0" memberValueDatatype="130" unbalanced="0"/>
    <cacheHierarchy uniqueName="[Attendance1].[Login_Time]" caption="Login_Time" attribute="1" time="1" defaultMemberUniqueName="[Attendance1].[Login_Time].[All]" allUniqueName="[Attendance1].[Login_Time].[All]" dimensionUniqueName="[Attendance1]" displayFolder="" count="0" memberValueDatatype="7" unbalanced="0"/>
    <cacheHierarchy uniqueName="[Attendance1].[Logout_Time]" caption="Logout_Time" attribute="1" time="1" defaultMemberUniqueName="[Attendance1].[Logout_Time].[All]" allUniqueName="[Attendance1].[Logout_Time].[All]" dimensionUniqueName="[Attendance1]" displayFolder="" count="0" memberValueDatatype="7" unbalanced="0"/>
    <cacheHierarchy uniqueName="[Attendance1].[Late_Login]" caption="Late_Login" attribute="1" defaultMemberUniqueName="[Attendance1].[Late_Login].[All]" allUniqueName="[Attendance1].[Late_Login].[All]" dimensionUniqueName="[Attendance1]" displayFolder="" count="0" memberValueDatatype="130" unbalanced="0"/>
    <cacheHierarchy uniqueName="[Clean_QC_Audit].[Audit_ID]" caption="Audit_ID" attribute="1" defaultMemberUniqueName="[Clean_QC_Audit].[Audit_ID].[All]" allUniqueName="[Clean_QC_Audit].[Audit_ID].[All]" dimensionUniqueName="[Clean_QC_Audit]" displayFolder="" count="0" memberValueDatatype="130" unbalanced="0"/>
    <cacheHierarchy uniqueName="[Clean_QC_Audit].[Audit_Date]" caption="Audit_Date" attribute="1" time="1" defaultMemberUniqueName="[Clean_QC_Audit].[Audit_Date].[All]" allUniqueName="[Clean_QC_Audit].[Audit_Date].[All]" dimensionUniqueName="[Clean_QC_Audit]" displayFolder="" count="2" memberValueDatatype="7" unbalanced="0">
      <fieldsUsage count="2">
        <fieldUsage x="-1"/>
        <fieldUsage x="1"/>
      </fieldsUsage>
    </cacheHierarchy>
    <cacheHierarchy uniqueName="[Clean_QC_Audit].[Employee_ID]" caption="Employee_ID" attribute="1" defaultMemberUniqueName="[Clean_QC_Audit].[Employee_ID].[All]" allUniqueName="[Clean_QC_Audit].[Employee_ID].[All]" dimensionUniqueName="[Clean_QC_Audit]" displayFolder="" count="0" memberValueDatatype="130" unbalanced="0"/>
    <cacheHierarchy uniqueName="[Clean_QC_Audit].[Cases_Audited]" caption="Cases_Audited" attribute="1" defaultMemberUniqueName="[Clean_QC_Audit].[Cases_Audited].[All]" allUniqueName="[Clean_QC_Audit].[Cases_Audited].[All]" dimensionUniqueName="[Clean_QC_Audit]" displayFolder="" count="0" memberValueDatatype="20" unbalanced="0"/>
    <cacheHierarchy uniqueName="[Clean_QC_Audit].[Audit_Score]" caption="Audit_Score" attribute="1" defaultMemberUniqueName="[Clean_QC_Audit].[Audit_Score].[All]" allUniqueName="[Clean_QC_Audit].[Audit_Score].[All]" dimensionUniqueName="[Clean_QC_Audit]" displayFolder="" count="0" memberValueDatatype="20" unbalanced="0"/>
    <cacheHierarchy uniqueName="[Clean_QC_Audit].[Critical_Errors]" caption="Critical_Errors" attribute="1" defaultMemberUniqueName="[Clean_QC_Audit].[Critical_Errors].[All]" allUniqueName="[Clean_QC_Audit].[Critical_Errors].[All]" dimensionUniqueName="[Clean_QC_Audit]" displayFolder="" count="0" memberValueDatatype="20" unbalanced="0"/>
    <cacheHierarchy uniqueName="[Clean_QC_Audit].[Major_Errors]" caption="Major_Errors" attribute="1" defaultMemberUniqueName="[Clean_QC_Audit].[Major_Errors].[All]" allUniqueName="[Clean_QC_Audit].[Major_Errors].[All]" dimensionUniqueName="[Clean_QC_Audit]" displayFolder="" count="0" memberValueDatatype="20" unbalanced="0"/>
    <cacheHierarchy uniqueName="[Clean_QC_Audit].[Minor_Errors]" caption="Minor_Errors" attribute="1" defaultMemberUniqueName="[Clean_QC_Audit].[Minor_Errors].[All]" allUniqueName="[Clean_QC_Audit].[Minor_Errors].[All]" dimensionUniqueName="[Clean_QC_Audit]" displayFolder="" count="0" memberValueDatatype="20" unbalanced="0"/>
    <cacheHierarchy uniqueName="[Clean_QC_Audit].[Auditor]" caption="Auditor" attribute="1" defaultMemberUniqueName="[Clean_QC_Audit].[Auditor].[All]" allUniqueName="[Clean_QC_Audit].[Auditor].[All]" dimensionUniqueName="[Clean_QC_Audit]" displayFolder="" count="0" memberValueDatatype="130" unbalanced="0"/>
    <cacheHierarchy uniqueName="[Clean_QC_Audit].[Month Name]" caption="Month Name" attribute="1" defaultMemberUniqueName="[Clean_QC_Audit].[Month Name].[All]" allUniqueName="[Clean_QC_Audit].[Month Name].[All]" dimensionUniqueName="[Clean_QC_Audit]" displayFolder="" count="2" memberValueDatatype="130" unbalanced="0">
      <fieldsUsage count="2">
        <fieldUsage x="-1"/>
        <fieldUsage x="3"/>
      </fieldsUsage>
    </cacheHierarchy>
    <cacheHierarchy uniqueName="[Clean_QC_Audit].[Total Errors]" caption="Total Errors" attribute="1" defaultMemberUniqueName="[Clean_QC_Audit].[Total Errors].[All]" allUniqueName="[Clean_QC_Audit].[Total Errors].[All]" dimensionUniqueName="[Clean_QC_Audit]" displayFolder="" count="0" memberValueDatatype="20" unbalanced="0"/>
    <cacheHierarchy uniqueName="[Clean_QC_Audit].[Audit Result]" caption="Audit Result" attribute="1" defaultMemberUniqueName="[Clean_QC_Audit].[Audit Result].[All]" allUniqueName="[Clean_QC_Audit].[Audit Result].[All]" dimensionUniqueName="[Clean_QC_Audit]" displayFolder="" count="0" memberValueDatatype="130" unbalanced="0"/>
    <cacheHierarchy uniqueName="[Clean_QC_Audit].[Audit_Date (Month)]" caption="Audit_Date (Month)" attribute="1" defaultMemberUniqueName="[Clean_QC_Audit].[Audit_Date (Month)].[All]" allUniqueName="[Clean_QC_Audit].[Audit_Date (Month)].[All]" dimensionUniqueName="[Clean_QC_Audit]" displayFolder="" count="0" memberValueDatatype="130" unbalanced="0"/>
    <cacheHierarchy uniqueName="[Employee_Master].[Employee_ID]" caption="Employee_ID" attribute="1" defaultMemberUniqueName="[Employee_Master].[Employee_ID].[All]" allUniqueName="[Employee_Master].[Employee_ID].[All]" dimensionUniqueName="[Employee_Master]" displayFolder="" count="0" memberValueDatatype="130" unbalanced="0"/>
    <cacheHierarchy uniqueName="[Employee_Master].[Employee_Name]" caption="Employee_Name" attribute="1" defaultMemberUniqueName="[Employee_Master].[Employee_Name].[All]" allUniqueName="[Employee_Master].[Employee_Name].[All]" dimensionUniqueName="[Employee_Master]" displayFolder="" count="0" memberValueDatatype="130" unbalanced="0"/>
    <cacheHierarchy uniqueName="[Employee_Master].[Email]" caption="Email" attribute="1" defaultMemberUniqueName="[Employee_Master].[Email].[All]" allUniqueName="[Employee_Master].[Email].[All]" dimensionUniqueName="[Employee_Master]" displayFolder="" count="0" memberValueDatatype="130" unbalanced="0"/>
    <cacheHierarchy uniqueName="[Employee_Master].[Department]" caption="Department" attribute="1" defaultMemberUniqueName="[Employee_Master].[Department].[All]" allUniqueName="[Employee_Master].[Department].[All]" dimensionUniqueName="[Employee_Master]" displayFolder="" count="0" memberValueDatatype="130" unbalanced="0"/>
    <cacheHierarchy uniqueName="[Employee_Master].[Process]" caption="Process" attribute="1" defaultMemberUniqueName="[Employee_Master].[Process].[All]" allUniqueName="[Employee_Master].[Process].[All]" dimensionUniqueName="[Employee_Master]" displayFolder="" count="2" memberValueDatatype="130" unbalanced="0"/>
    <cacheHierarchy uniqueName="[Employee_Master].[Team]" caption="Team" attribute="1" defaultMemberUniqueName="[Employee_Master].[Team].[All]" allUniqueName="[Employee_Master].[Team].[All]" dimensionUniqueName="[Employee_Master]" displayFolder="" count="0" memberValueDatatype="130" unbalanced="0"/>
    <cacheHierarchy uniqueName="[Employee_Master].[Designation]" caption="Designation" attribute="1" defaultMemberUniqueName="[Employee_Master].[Designation].[All]" allUniqueName="[Employee_Master].[Designation].[All]" dimensionUniqueName="[Employee_Master]" displayFolder="" count="0" memberValueDatatype="130" unbalanced="0"/>
    <cacheHierarchy uniqueName="[Employee_Master].[Manager_ID]" caption="Manager_ID" attribute="1" defaultMemberUniqueName="[Employee_Master].[Manager_ID].[All]" allUniqueName="[Employee_Master].[Manager_ID].[All]" dimensionUniqueName="[Employee_Master]" displayFolder="" count="0" memberValueDatatype="130" unbalanced="0"/>
    <cacheHierarchy uniqueName="[Employee_Master].[Manager_Name]" caption="Manager_Name" attribute="1" defaultMemberUniqueName="[Employee_Master].[Manager_Name].[All]" allUniqueName="[Employee_Master].[Manager_Name].[All]" dimensionUniqueName="[Employee_Master]" displayFolder="" count="0" memberValueDatatype="130" unbalanced="0"/>
    <cacheHierarchy uniqueName="[Employee_Master].[DOJ]" caption="DOJ" attribute="1" time="1" defaultMemberUniqueName="[Employee_Master].[DOJ].[All]" allUniqueName="[Employee_Master].[DOJ].[All]" dimensionUniqueName="[Employee_Master]" displayFolder="" count="0" memberValueDatatype="7" unbalanced="0"/>
    <cacheHierarchy uniqueName="[Employee_Master].[Location]" caption="Location" attribute="1" defaultMemberUniqueName="[Employee_Master].[Location].[All]" allUniqueName="[Employee_Master].[Location].[All]" dimensionUniqueName="[Employee_Master]" displayFolder="" count="0" memberValueDatatype="130" unbalanced="0"/>
    <cacheHierarchy uniqueName="[Employee_Master].[Shift]" caption="Shift" attribute="1" defaultMemberUniqueName="[Employee_Master].[Shift].[All]" allUniqueName="[Employee_Master].[Shift].[All]" dimensionUniqueName="[Employee_Master]" displayFolder="" count="0" memberValueDatatype="130" unbalanced="0"/>
    <cacheHierarchy uniqueName="[Employee_Master].[Status]" caption="Status" attribute="1" defaultMemberUniqueName="[Employee_Master].[Status].[All]" allUniqueName="[Employee_Master].[Status].[All]" dimensionUniqueName="[Employee_Master]" displayFolder="" count="0" memberValueDatatype="130" unbalanced="0"/>
    <cacheHierarchy uniqueName="[Employee_Master].[Employee_Name - Copy]" caption="Employee_Name - Copy" attribute="1" defaultMemberUniqueName="[Employee_Master].[Employee_Name - Copy].[All]" allUniqueName="[Employee_Master].[Employee_Name - Copy].[All]" dimensionUniqueName="[Employee_Master]" displayFolder="" count="2" memberValueDatatype="130" unbalanced="0">
      <fieldsUsage count="2">
        <fieldUsage x="-1"/>
        <fieldUsage x="0"/>
      </fieldsUsage>
    </cacheHierarchy>
    <cacheHierarchy uniqueName="[Clean_QC_Audit].[Audit_Date (Month Index)]" caption="Audit_Date (Month Index)" attribute="1" defaultMemberUniqueName="[Clean_QC_Audit].[Audit_Date (Month Index)].[All]" allUniqueName="[Clean_QC_Audit].[Audit_Date (Month Index)].[All]" dimensionUniqueName="[Clean_QC_Audit]" displayFolder="" count="0" memberValueDatatype="20" unbalanced="0" hidden="1"/>
    <cacheHierarchy uniqueName="[Measures].[__XL_Count Clean_QC_Audit]" caption="__XL_Count Clean_QC_Audit" measure="1" displayFolder="" measureGroup="Clean_QC_Audit" count="0" hidden="1"/>
    <cacheHierarchy uniqueName="[Measures].[__XL_Count Attendance1]" caption="__XL_Count Attendance1" measure="1" displayFolder="" measureGroup="Attendance1" count="0" hidden="1"/>
    <cacheHierarchy uniqueName="[Measures].[__XL_Count Employee_Master]" caption="__XL_Count Employee_Master" measure="1" displayFolder="" measureGroup="Employee_Master" count="0" hidden="1"/>
    <cacheHierarchy uniqueName="[Measures].[__No measures defined]" caption="__No measures defined" measure="1" displayFolder="" count="0" hidden="1"/>
    <cacheHierarchy uniqueName="[Measures].[Sum of Cases_Audited]" caption="Sum of Cases_Audited" measure="1" displayFolder="" measureGroup="Clean_QC_Audit" count="0" hidden="1">
      <extLst>
        <ext xmlns:x15="http://schemas.microsoft.com/office/spreadsheetml/2010/11/main" uri="{B97F6D7D-B522-45F9-BDA1-12C45D357490}">
          <x15:cacheHierarchy aggregatedColumn="10"/>
        </ext>
      </extLst>
    </cacheHierarchy>
    <cacheHierarchy uniqueName="[Measures].[Count of Audit_ID]" caption="Count of Audit_ID" measure="1" displayFolder="" measureGroup="Clean_QC_Audit" count="0" hidden="1">
      <extLst>
        <ext xmlns:x15="http://schemas.microsoft.com/office/spreadsheetml/2010/11/main" uri="{B97F6D7D-B522-45F9-BDA1-12C45D357490}">
          <x15:cacheHierarchy aggregatedColumn="7"/>
        </ext>
      </extLst>
    </cacheHierarchy>
    <cacheHierarchy uniqueName="[Measures].[Sum of Audit_Score]" caption="Sum of Audit_Score" measure="1" displayFolder="" measureGroup="Clean_QC_Audit" count="0" hidden="1">
      <extLst>
        <ext xmlns:x15="http://schemas.microsoft.com/office/spreadsheetml/2010/11/main" uri="{B97F6D7D-B522-45F9-BDA1-12C45D357490}">
          <x15:cacheHierarchy aggregatedColumn="11"/>
        </ext>
      </extLst>
    </cacheHierarchy>
    <cacheHierarchy uniqueName="[Measures].[Average of Audit_Score]" caption="Average of Audit_Score" measure="1" displayFolder="" measureGroup="Clean_QC_Audit" count="0" hidden="1">
      <extLst>
        <ext xmlns:x15="http://schemas.microsoft.com/office/spreadsheetml/2010/11/main" uri="{B97F6D7D-B522-45F9-BDA1-12C45D357490}">
          <x15:cacheHierarchy aggregatedColumn="11"/>
        </ext>
      </extLst>
    </cacheHierarchy>
    <cacheHierarchy uniqueName="[Measures].[Max of Audit_Score]" caption="Max of Audit_Score" measure="1" displayFolder="" measureGroup="Clean_QC_Audit" count="0" hidden="1">
      <extLst>
        <ext xmlns:x15="http://schemas.microsoft.com/office/spreadsheetml/2010/11/main" uri="{B97F6D7D-B522-45F9-BDA1-12C45D357490}">
          <x15:cacheHierarchy aggregatedColumn="11"/>
        </ext>
      </extLst>
    </cacheHierarchy>
    <cacheHierarchy uniqueName="[Measures].[Min of Audit_Score]" caption="Min of Audit_Score" measure="1" displayFolder="" measureGroup="Clean_QC_Audit" count="0" hidden="1">
      <extLst>
        <ext xmlns:x15="http://schemas.microsoft.com/office/spreadsheetml/2010/11/main" uri="{B97F6D7D-B522-45F9-BDA1-12C45D357490}">
          <x15:cacheHierarchy aggregatedColumn="11"/>
        </ext>
      </extLst>
    </cacheHierarchy>
    <cacheHierarchy uniqueName="[Measures].[Count of Audit Result]" caption="Count of Audit Result" measure="1" displayFolder="" measureGroup="Clean_QC_Audit" count="0" hidden="1">
      <extLst>
        <ext xmlns:x15="http://schemas.microsoft.com/office/spreadsheetml/2010/11/main" uri="{B97F6D7D-B522-45F9-BDA1-12C45D357490}">
          <x15:cacheHierarchy aggregatedColumn="18"/>
        </ext>
      </extLst>
    </cacheHierarchy>
    <cacheHierarchy uniqueName="[Measures].[Sum of Critical_Errors]" caption="Sum of Critical_Errors" measure="1" displayFolder="" measureGroup="Clean_QC_Audit" count="0" hidden="1">
      <extLst>
        <ext xmlns:x15="http://schemas.microsoft.com/office/spreadsheetml/2010/11/main" uri="{B97F6D7D-B522-45F9-BDA1-12C45D357490}">
          <x15:cacheHierarchy aggregatedColumn="12"/>
        </ext>
      </extLst>
    </cacheHierarchy>
    <cacheHierarchy uniqueName="[Measures].[Sum of Major_Errors]" caption="Sum of Major_Errors" measure="1" displayFolder="" measureGroup="Clean_QC_Audit" count="0" hidden="1">
      <extLst>
        <ext xmlns:x15="http://schemas.microsoft.com/office/spreadsheetml/2010/11/main" uri="{B97F6D7D-B522-45F9-BDA1-12C45D357490}">
          <x15:cacheHierarchy aggregatedColumn="13"/>
        </ext>
      </extLst>
    </cacheHierarchy>
    <cacheHierarchy uniqueName="[Measures].[Sum of Minor_Errors]" caption="Sum of Minor_Errors" measure="1" displayFolder="" measureGroup="Clean_QC_Audit" count="0" hidden="1">
      <extLst>
        <ext xmlns:x15="http://schemas.microsoft.com/office/spreadsheetml/2010/11/main" uri="{B97F6D7D-B522-45F9-BDA1-12C45D357490}">
          <x15:cacheHierarchy aggregatedColumn="14"/>
        </ext>
      </extLst>
    </cacheHierarchy>
    <cacheHierarchy uniqueName="[Measures].[Count of Total Errors]" caption="Count of Total Errors" measure="1" displayFolder="" measureGroup="Clean_QC_Audit" count="0" hidden="1">
      <extLst>
        <ext xmlns:x15="http://schemas.microsoft.com/office/spreadsheetml/2010/11/main" uri="{B97F6D7D-B522-45F9-BDA1-12C45D357490}">
          <x15:cacheHierarchy aggregatedColumn="17"/>
        </ext>
      </extLst>
    </cacheHierarchy>
    <cacheHierarchy uniqueName="[Measures].[Sum of Total Errors]" caption="Sum of Total Errors" measure="1" displayFolder="" measureGroup="Clean_QC_Audit" count="0" hidden="1">
      <extLst>
        <ext xmlns:x15="http://schemas.microsoft.com/office/spreadsheetml/2010/11/main" uri="{B97F6D7D-B522-45F9-BDA1-12C45D357490}">
          <x15:cacheHierarchy aggregatedColumn="17"/>
        </ext>
      </extLst>
    </cacheHierarchy>
    <cacheHierarchy uniqueName="[Measures].[Average of Total Errors]" caption="Average of Total Errors" measure="1" displayFolder="" measureGroup="Clean_QC_Audit" count="0" oneField="1" hidden="1">
      <fieldsUsage count="1">
        <fieldUsage x="2"/>
      </fieldsUsage>
      <extLst>
        <ext xmlns:x15="http://schemas.microsoft.com/office/spreadsheetml/2010/11/main" uri="{B97F6D7D-B522-45F9-BDA1-12C45D357490}">
          <x15:cacheHierarchy aggregatedColumn="17"/>
        </ext>
      </extLst>
    </cacheHierarchy>
  </cacheHierarchies>
  <kpis count="0"/>
  <dimensions count="4">
    <dimension name="Attendance1" uniqueName="[Attendance1]" caption="Attendance1"/>
    <dimension name="Clean_QC_Audit" uniqueName="[Clean_QC_Audit]" caption="Clean_QC_Audit"/>
    <dimension name="Employee_Master" uniqueName="[Employee_Master]" caption="Employee_Master"/>
    <dimension measure="1" name="Measures" uniqueName="[Measures]" caption="Measures"/>
  </dimensions>
  <measureGroups count="3">
    <measureGroup name="Attendance1" caption="Attendance1"/>
    <measureGroup name="Clean_QC_Audit" caption="Clean_QC_Audit"/>
    <measureGroup name="Employee_Master" caption="Employee_Master"/>
  </measureGroups>
  <maps count="4">
    <map measureGroup="0"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oth G R" refreshedDate="46274.221938541668" createdVersion="5" refreshedVersion="8" minRefreshableVersion="3" recordCount="0" supportSubquery="1" supportAdvancedDrill="1" xr:uid="{4DB446E8-9DCF-4BED-BE15-A3376670BB9B}">
  <cacheSource type="external" connectionId="9"/>
  <cacheFields count="2">
    <cacheField name="[Measures].[Average of Audit_Score]" caption="Average of Audit_Score" numFmtId="0" hierarchy="42" level="32767"/>
    <cacheField name="[Clean_QC_Audit].[Month Name].[Month Name]" caption="Month Name" numFmtId="0" hierarchy="16" level="1">
      <sharedItems containsSemiMixedTypes="0" containsNonDate="0" containsString="0"/>
    </cacheField>
  </cacheFields>
  <cacheHierarchies count="52">
    <cacheHierarchy uniqueName="[Attendance1].[Attendance_ID]" caption="Attendance_ID" attribute="1" defaultMemberUniqueName="[Attendance1].[Attendance_ID].[All]" allUniqueName="[Attendance1].[Attendance_ID].[All]" dimensionUniqueName="[Attendance1]" displayFolder="" count="0" memberValueDatatype="130" unbalanced="0"/>
    <cacheHierarchy uniqueName="[Attendance1].[Date]" caption="Date" attribute="1" time="1" defaultMemberUniqueName="[Attendance1].[Date].[All]" allUniqueName="[Attendance1].[Date].[All]" dimensionUniqueName="[Attendance1]" displayFolder="" count="0" memberValueDatatype="7" unbalanced="0"/>
    <cacheHierarchy uniqueName="[Attendance1].[Employee_ID]" caption="Employee_ID" attribute="1" defaultMemberUniqueName="[Attendance1].[Employee_ID].[All]" allUniqueName="[Attendance1].[Employee_ID].[All]" dimensionUniqueName="[Attendance1]" displayFolder="" count="0" memberValueDatatype="130" unbalanced="0"/>
    <cacheHierarchy uniqueName="[Attendance1].[Attendance_Status]" caption="Attendance_Status" attribute="1" defaultMemberUniqueName="[Attendance1].[Attendance_Status].[All]" allUniqueName="[Attendance1].[Attendance_Status].[All]" dimensionUniqueName="[Attendance1]" displayFolder="" count="0" memberValueDatatype="130" unbalanced="0"/>
    <cacheHierarchy uniqueName="[Attendance1].[Login_Time]" caption="Login_Time" attribute="1" time="1" defaultMemberUniqueName="[Attendance1].[Login_Time].[All]" allUniqueName="[Attendance1].[Login_Time].[All]" dimensionUniqueName="[Attendance1]" displayFolder="" count="0" memberValueDatatype="7" unbalanced="0"/>
    <cacheHierarchy uniqueName="[Attendance1].[Logout_Time]" caption="Logout_Time" attribute="1" time="1" defaultMemberUniqueName="[Attendance1].[Logout_Time].[All]" allUniqueName="[Attendance1].[Logout_Time].[All]" dimensionUniqueName="[Attendance1]" displayFolder="" count="0" memberValueDatatype="7" unbalanced="0"/>
    <cacheHierarchy uniqueName="[Attendance1].[Late_Login]" caption="Late_Login" attribute="1" defaultMemberUniqueName="[Attendance1].[Late_Login].[All]" allUniqueName="[Attendance1].[Late_Login].[All]" dimensionUniqueName="[Attendance1]" displayFolder="" count="0" memberValueDatatype="130" unbalanced="0"/>
    <cacheHierarchy uniqueName="[Clean_QC_Audit].[Audit_ID]" caption="Audit_ID" attribute="1" defaultMemberUniqueName="[Clean_QC_Audit].[Audit_ID].[All]" allUniqueName="[Clean_QC_Audit].[Audit_ID].[All]" dimensionUniqueName="[Clean_QC_Audit]" displayFolder="" count="0" memberValueDatatype="130" unbalanced="0"/>
    <cacheHierarchy uniqueName="[Clean_QC_Audit].[Audit_Date]" caption="Audit_Date" attribute="1" time="1" defaultMemberUniqueName="[Clean_QC_Audit].[Audit_Date].[All]" allUniqueName="[Clean_QC_Audit].[Audit_Date].[All]" dimensionUniqueName="[Clean_QC_Audit]" displayFolder="" count="0" memberValueDatatype="7" unbalanced="0"/>
    <cacheHierarchy uniqueName="[Clean_QC_Audit].[Employee_ID]" caption="Employee_ID" attribute="1" defaultMemberUniqueName="[Clean_QC_Audit].[Employee_ID].[All]" allUniqueName="[Clean_QC_Audit].[Employee_ID].[All]" dimensionUniqueName="[Clean_QC_Audit]" displayFolder="" count="0" memberValueDatatype="130" unbalanced="0"/>
    <cacheHierarchy uniqueName="[Clean_QC_Audit].[Cases_Audited]" caption="Cases_Audited" attribute="1" defaultMemberUniqueName="[Clean_QC_Audit].[Cases_Audited].[All]" allUniqueName="[Clean_QC_Audit].[Cases_Audited].[All]" dimensionUniqueName="[Clean_QC_Audit]" displayFolder="" count="0" memberValueDatatype="20" unbalanced="0"/>
    <cacheHierarchy uniqueName="[Clean_QC_Audit].[Audit_Score]" caption="Audit_Score" attribute="1" defaultMemberUniqueName="[Clean_QC_Audit].[Audit_Score].[All]" allUniqueName="[Clean_QC_Audit].[Audit_Score].[All]" dimensionUniqueName="[Clean_QC_Audit]" displayFolder="" count="0" memberValueDatatype="20" unbalanced="0"/>
    <cacheHierarchy uniqueName="[Clean_QC_Audit].[Critical_Errors]" caption="Critical_Errors" attribute="1" defaultMemberUniqueName="[Clean_QC_Audit].[Critical_Errors].[All]" allUniqueName="[Clean_QC_Audit].[Critical_Errors].[All]" dimensionUniqueName="[Clean_QC_Audit]" displayFolder="" count="0" memberValueDatatype="20" unbalanced="0"/>
    <cacheHierarchy uniqueName="[Clean_QC_Audit].[Major_Errors]" caption="Major_Errors" attribute="1" defaultMemberUniqueName="[Clean_QC_Audit].[Major_Errors].[All]" allUniqueName="[Clean_QC_Audit].[Major_Errors].[All]" dimensionUniqueName="[Clean_QC_Audit]" displayFolder="" count="0" memberValueDatatype="20" unbalanced="0"/>
    <cacheHierarchy uniqueName="[Clean_QC_Audit].[Minor_Errors]" caption="Minor_Errors" attribute="1" defaultMemberUniqueName="[Clean_QC_Audit].[Minor_Errors].[All]" allUniqueName="[Clean_QC_Audit].[Minor_Errors].[All]" dimensionUniqueName="[Clean_QC_Audit]" displayFolder="" count="0" memberValueDatatype="20" unbalanced="0"/>
    <cacheHierarchy uniqueName="[Clean_QC_Audit].[Auditor]" caption="Auditor" attribute="1" defaultMemberUniqueName="[Clean_QC_Audit].[Auditor].[All]" allUniqueName="[Clean_QC_Audit].[Auditor].[All]" dimensionUniqueName="[Clean_QC_Audit]" displayFolder="" count="0" memberValueDatatype="130" unbalanced="0"/>
    <cacheHierarchy uniqueName="[Clean_QC_Audit].[Month Name]" caption="Month Name" attribute="1" defaultMemberUniqueName="[Clean_QC_Audit].[Month Name].[All]" allUniqueName="[Clean_QC_Audit].[Month Name].[All]" dimensionUniqueName="[Clean_QC_Audit]" displayFolder="" count="2" memberValueDatatype="130" unbalanced="0">
      <fieldsUsage count="2">
        <fieldUsage x="-1"/>
        <fieldUsage x="1"/>
      </fieldsUsage>
    </cacheHierarchy>
    <cacheHierarchy uniqueName="[Clean_QC_Audit].[Total Errors]" caption="Total Errors" attribute="1" defaultMemberUniqueName="[Clean_QC_Audit].[Total Errors].[All]" allUniqueName="[Clean_QC_Audit].[Total Errors].[All]" dimensionUniqueName="[Clean_QC_Audit]" displayFolder="" count="0" memberValueDatatype="20" unbalanced="0"/>
    <cacheHierarchy uniqueName="[Clean_QC_Audit].[Audit Result]" caption="Audit Result" attribute="1" defaultMemberUniqueName="[Clean_QC_Audit].[Audit Result].[All]" allUniqueName="[Clean_QC_Audit].[Audit Result].[All]" dimensionUniqueName="[Clean_QC_Audit]" displayFolder="" count="0" memberValueDatatype="130" unbalanced="0"/>
    <cacheHierarchy uniqueName="[Clean_QC_Audit].[Audit_Date (Month)]" caption="Audit_Date (Month)" attribute="1" defaultMemberUniqueName="[Clean_QC_Audit].[Audit_Date (Month)].[All]" allUniqueName="[Clean_QC_Audit].[Audit_Date (Month)].[All]" dimensionUniqueName="[Clean_QC_Audit]" displayFolder="" count="0" memberValueDatatype="130" unbalanced="0"/>
    <cacheHierarchy uniqueName="[Employee_Master].[Employee_ID]" caption="Employee_ID" attribute="1" defaultMemberUniqueName="[Employee_Master].[Employee_ID].[All]" allUniqueName="[Employee_Master].[Employee_ID].[All]" dimensionUniqueName="[Employee_Master]" displayFolder="" count="0" memberValueDatatype="130" unbalanced="0"/>
    <cacheHierarchy uniqueName="[Employee_Master].[Employee_Name]" caption="Employee_Name" attribute="1" defaultMemberUniqueName="[Employee_Master].[Employee_Name].[All]" allUniqueName="[Employee_Master].[Employee_Name].[All]" dimensionUniqueName="[Employee_Master]" displayFolder="" count="0" memberValueDatatype="130" unbalanced="0"/>
    <cacheHierarchy uniqueName="[Employee_Master].[Email]" caption="Email" attribute="1" defaultMemberUniqueName="[Employee_Master].[Email].[All]" allUniqueName="[Employee_Master].[Email].[All]" dimensionUniqueName="[Employee_Master]" displayFolder="" count="0" memberValueDatatype="130" unbalanced="0"/>
    <cacheHierarchy uniqueName="[Employee_Master].[Department]" caption="Department" attribute="1" defaultMemberUniqueName="[Employee_Master].[Department].[All]" allUniqueName="[Employee_Master].[Department].[All]" dimensionUniqueName="[Employee_Master]" displayFolder="" count="0" memberValueDatatype="130" unbalanced="0"/>
    <cacheHierarchy uniqueName="[Employee_Master].[Process]" caption="Process" attribute="1" defaultMemberUniqueName="[Employee_Master].[Process].[All]" allUniqueName="[Employee_Master].[Process].[All]" dimensionUniqueName="[Employee_Master]" displayFolder="" count="2" memberValueDatatype="130" unbalanced="0"/>
    <cacheHierarchy uniqueName="[Employee_Master].[Team]" caption="Team" attribute="1" defaultMemberUniqueName="[Employee_Master].[Team].[All]" allUniqueName="[Employee_Master].[Team].[All]" dimensionUniqueName="[Employee_Master]" displayFolder="" count="0" memberValueDatatype="130" unbalanced="0"/>
    <cacheHierarchy uniqueName="[Employee_Master].[Designation]" caption="Designation" attribute="1" defaultMemberUniqueName="[Employee_Master].[Designation].[All]" allUniqueName="[Employee_Master].[Designation].[All]" dimensionUniqueName="[Employee_Master]" displayFolder="" count="0" memberValueDatatype="130" unbalanced="0"/>
    <cacheHierarchy uniqueName="[Employee_Master].[Manager_ID]" caption="Manager_ID" attribute="1" defaultMemberUniqueName="[Employee_Master].[Manager_ID].[All]" allUniqueName="[Employee_Master].[Manager_ID].[All]" dimensionUniqueName="[Employee_Master]" displayFolder="" count="0" memberValueDatatype="130" unbalanced="0"/>
    <cacheHierarchy uniqueName="[Employee_Master].[Manager_Name]" caption="Manager_Name" attribute="1" defaultMemberUniqueName="[Employee_Master].[Manager_Name].[All]" allUniqueName="[Employee_Master].[Manager_Name].[All]" dimensionUniqueName="[Employee_Master]" displayFolder="" count="0" memberValueDatatype="130" unbalanced="0"/>
    <cacheHierarchy uniqueName="[Employee_Master].[DOJ]" caption="DOJ" attribute="1" time="1" defaultMemberUniqueName="[Employee_Master].[DOJ].[All]" allUniqueName="[Employee_Master].[DOJ].[All]" dimensionUniqueName="[Employee_Master]" displayFolder="" count="0" memberValueDatatype="7" unbalanced="0"/>
    <cacheHierarchy uniqueName="[Employee_Master].[Location]" caption="Location" attribute="1" defaultMemberUniqueName="[Employee_Master].[Location].[All]" allUniqueName="[Employee_Master].[Location].[All]" dimensionUniqueName="[Employee_Master]" displayFolder="" count="0" memberValueDatatype="130" unbalanced="0"/>
    <cacheHierarchy uniqueName="[Employee_Master].[Shift]" caption="Shift" attribute="1" defaultMemberUniqueName="[Employee_Master].[Shift].[All]" allUniqueName="[Employee_Master].[Shift].[All]" dimensionUniqueName="[Employee_Master]" displayFolder="" count="0" memberValueDatatype="130" unbalanced="0"/>
    <cacheHierarchy uniqueName="[Employee_Master].[Status]" caption="Status" attribute="1" defaultMemberUniqueName="[Employee_Master].[Status].[All]" allUniqueName="[Employee_Master].[Status].[All]" dimensionUniqueName="[Employee_Master]" displayFolder="" count="0" memberValueDatatype="130" unbalanced="0"/>
    <cacheHierarchy uniqueName="[Employee_Master].[Employee_Name - Copy]" caption="Employee_Name - Copy" attribute="1" defaultMemberUniqueName="[Employee_Master].[Employee_Name - Copy].[All]" allUniqueName="[Employee_Master].[Employee_Name - Copy].[All]" dimensionUniqueName="[Employee_Master]" displayFolder="" count="0" memberValueDatatype="130" unbalanced="0"/>
    <cacheHierarchy uniqueName="[Clean_QC_Audit].[Audit_Date (Month Index)]" caption="Audit_Date (Month Index)" attribute="1" defaultMemberUniqueName="[Clean_QC_Audit].[Audit_Date (Month Index)].[All]" allUniqueName="[Clean_QC_Audit].[Audit_Date (Month Index)].[All]" dimensionUniqueName="[Clean_QC_Audit]" displayFolder="" count="0" memberValueDatatype="20" unbalanced="0" hidden="1"/>
    <cacheHierarchy uniqueName="[Measures].[__XL_Count Clean_QC_Audit]" caption="__XL_Count Clean_QC_Audit" measure="1" displayFolder="" measureGroup="Clean_QC_Audit" count="0" hidden="1"/>
    <cacheHierarchy uniqueName="[Measures].[__XL_Count Attendance1]" caption="__XL_Count Attendance1" measure="1" displayFolder="" measureGroup="Attendance1" count="0" hidden="1"/>
    <cacheHierarchy uniqueName="[Measures].[__XL_Count Employee_Master]" caption="__XL_Count Employee_Master" measure="1" displayFolder="" measureGroup="Employee_Master" count="0" hidden="1"/>
    <cacheHierarchy uniqueName="[Measures].[__No measures defined]" caption="__No measures defined" measure="1" displayFolder="" count="0" hidden="1"/>
    <cacheHierarchy uniqueName="[Measures].[Sum of Cases_Audited]" caption="Sum of Cases_Audited" measure="1" displayFolder="" measureGroup="Clean_QC_Audit" count="0" hidden="1">
      <extLst>
        <ext xmlns:x15="http://schemas.microsoft.com/office/spreadsheetml/2010/11/main" uri="{B97F6D7D-B522-45F9-BDA1-12C45D357490}">
          <x15:cacheHierarchy aggregatedColumn="10"/>
        </ext>
      </extLst>
    </cacheHierarchy>
    <cacheHierarchy uniqueName="[Measures].[Count of Audit_ID]" caption="Count of Audit_ID" measure="1" displayFolder="" measureGroup="Clean_QC_Audit" count="0" hidden="1">
      <extLst>
        <ext xmlns:x15="http://schemas.microsoft.com/office/spreadsheetml/2010/11/main" uri="{B97F6D7D-B522-45F9-BDA1-12C45D357490}">
          <x15:cacheHierarchy aggregatedColumn="7"/>
        </ext>
      </extLst>
    </cacheHierarchy>
    <cacheHierarchy uniqueName="[Measures].[Sum of Audit_Score]" caption="Sum of Audit_Score" measure="1" displayFolder="" measureGroup="Clean_QC_Audit" count="0" hidden="1">
      <extLst>
        <ext xmlns:x15="http://schemas.microsoft.com/office/spreadsheetml/2010/11/main" uri="{B97F6D7D-B522-45F9-BDA1-12C45D357490}">
          <x15:cacheHierarchy aggregatedColumn="11"/>
        </ext>
      </extLst>
    </cacheHierarchy>
    <cacheHierarchy uniqueName="[Measures].[Average of Audit_Score]" caption="Average of Audit_Score" measure="1" displayFolder="" measureGroup="Clean_QC_Audit" count="0" oneField="1" hidden="1">
      <fieldsUsage count="1">
        <fieldUsage x="0"/>
      </fieldsUsage>
      <extLst>
        <ext xmlns:x15="http://schemas.microsoft.com/office/spreadsheetml/2010/11/main" uri="{B97F6D7D-B522-45F9-BDA1-12C45D357490}">
          <x15:cacheHierarchy aggregatedColumn="11"/>
        </ext>
      </extLst>
    </cacheHierarchy>
    <cacheHierarchy uniqueName="[Measures].[Max of Audit_Score]" caption="Max of Audit_Score" measure="1" displayFolder="" measureGroup="Clean_QC_Audit" count="0" hidden="1">
      <extLst>
        <ext xmlns:x15="http://schemas.microsoft.com/office/spreadsheetml/2010/11/main" uri="{B97F6D7D-B522-45F9-BDA1-12C45D357490}">
          <x15:cacheHierarchy aggregatedColumn="11"/>
        </ext>
      </extLst>
    </cacheHierarchy>
    <cacheHierarchy uniqueName="[Measures].[Min of Audit_Score]" caption="Min of Audit_Score" measure="1" displayFolder="" measureGroup="Clean_QC_Audit" count="0" hidden="1">
      <extLst>
        <ext xmlns:x15="http://schemas.microsoft.com/office/spreadsheetml/2010/11/main" uri="{B97F6D7D-B522-45F9-BDA1-12C45D357490}">
          <x15:cacheHierarchy aggregatedColumn="11"/>
        </ext>
      </extLst>
    </cacheHierarchy>
    <cacheHierarchy uniqueName="[Measures].[Count of Audit Result]" caption="Count of Audit Result" measure="1" displayFolder="" measureGroup="Clean_QC_Audit" count="0" hidden="1">
      <extLst>
        <ext xmlns:x15="http://schemas.microsoft.com/office/spreadsheetml/2010/11/main" uri="{B97F6D7D-B522-45F9-BDA1-12C45D357490}">
          <x15:cacheHierarchy aggregatedColumn="18"/>
        </ext>
      </extLst>
    </cacheHierarchy>
    <cacheHierarchy uniqueName="[Measures].[Sum of Critical_Errors]" caption="Sum of Critical_Errors" measure="1" displayFolder="" measureGroup="Clean_QC_Audit" count="0" hidden="1">
      <extLst>
        <ext xmlns:x15="http://schemas.microsoft.com/office/spreadsheetml/2010/11/main" uri="{B97F6D7D-B522-45F9-BDA1-12C45D357490}">
          <x15:cacheHierarchy aggregatedColumn="12"/>
        </ext>
      </extLst>
    </cacheHierarchy>
    <cacheHierarchy uniqueName="[Measures].[Sum of Major_Errors]" caption="Sum of Major_Errors" measure="1" displayFolder="" measureGroup="Clean_QC_Audit" count="0" hidden="1">
      <extLst>
        <ext xmlns:x15="http://schemas.microsoft.com/office/spreadsheetml/2010/11/main" uri="{B97F6D7D-B522-45F9-BDA1-12C45D357490}">
          <x15:cacheHierarchy aggregatedColumn="13"/>
        </ext>
      </extLst>
    </cacheHierarchy>
    <cacheHierarchy uniqueName="[Measures].[Sum of Minor_Errors]" caption="Sum of Minor_Errors" measure="1" displayFolder="" measureGroup="Clean_QC_Audit" count="0" hidden="1">
      <extLst>
        <ext xmlns:x15="http://schemas.microsoft.com/office/spreadsheetml/2010/11/main" uri="{B97F6D7D-B522-45F9-BDA1-12C45D357490}">
          <x15:cacheHierarchy aggregatedColumn="14"/>
        </ext>
      </extLst>
    </cacheHierarchy>
    <cacheHierarchy uniqueName="[Measures].[Count of Total Errors]" caption="Count of Total Errors" measure="1" displayFolder="" measureGroup="Clean_QC_Audit" count="0" hidden="1">
      <extLst>
        <ext xmlns:x15="http://schemas.microsoft.com/office/spreadsheetml/2010/11/main" uri="{B97F6D7D-B522-45F9-BDA1-12C45D357490}">
          <x15:cacheHierarchy aggregatedColumn="17"/>
        </ext>
      </extLst>
    </cacheHierarchy>
    <cacheHierarchy uniqueName="[Measures].[Sum of Total Errors]" caption="Sum of Total Errors" measure="1" displayFolder="" measureGroup="Clean_QC_Audit" count="0" hidden="1">
      <extLst>
        <ext xmlns:x15="http://schemas.microsoft.com/office/spreadsheetml/2010/11/main" uri="{B97F6D7D-B522-45F9-BDA1-12C45D357490}">
          <x15:cacheHierarchy aggregatedColumn="17"/>
        </ext>
      </extLst>
    </cacheHierarchy>
    <cacheHierarchy uniqueName="[Measures].[Average of Total Errors]" caption="Average of Total Errors" measure="1" displayFolder="" measureGroup="Clean_QC_Audit" count="0" hidden="1">
      <extLst>
        <ext xmlns:x15="http://schemas.microsoft.com/office/spreadsheetml/2010/11/main" uri="{B97F6D7D-B522-45F9-BDA1-12C45D357490}">
          <x15:cacheHierarchy aggregatedColumn="17"/>
        </ext>
      </extLst>
    </cacheHierarchy>
  </cacheHierarchies>
  <kpis count="0"/>
  <dimensions count="4">
    <dimension name="Attendance1" uniqueName="[Attendance1]" caption="Attendance1"/>
    <dimension name="Clean_QC_Audit" uniqueName="[Clean_QC_Audit]" caption="Clean_QC_Audit"/>
    <dimension name="Employee_Master" uniqueName="[Employee_Master]" caption="Employee_Master"/>
    <dimension measure="1" name="Measures" uniqueName="[Measures]" caption="Measures"/>
  </dimensions>
  <measureGroups count="3">
    <measureGroup name="Attendance1" caption="Attendance1"/>
    <measureGroup name="Clean_QC_Audit" caption="Clean_QC_Audit"/>
    <measureGroup name="Employee_Master" caption="Employee_Master"/>
  </measureGroups>
  <maps count="4">
    <map measureGroup="0"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oth G R" refreshedDate="46274.221938541668" createdVersion="5" refreshedVersion="8" minRefreshableVersion="3" recordCount="0" supportSubquery="1" supportAdvancedDrill="1" xr:uid="{96622108-34DC-4F6C-B94C-916A84C8D821}">
  <cacheSource type="external" connectionId="9"/>
  <cacheFields count="2">
    <cacheField name="[Measures].[Min of Audit_Score]" caption="Min of Audit_Score" numFmtId="0" hierarchy="44" level="32767"/>
    <cacheField name="[Clean_QC_Audit].[Month Name].[Month Name]" caption="Month Name" numFmtId="0" hierarchy="16" level="1">
      <sharedItems containsSemiMixedTypes="0" containsNonDate="0" containsString="0"/>
    </cacheField>
  </cacheFields>
  <cacheHierarchies count="52">
    <cacheHierarchy uniqueName="[Attendance1].[Attendance_ID]" caption="Attendance_ID" attribute="1" defaultMemberUniqueName="[Attendance1].[Attendance_ID].[All]" allUniqueName="[Attendance1].[Attendance_ID].[All]" dimensionUniqueName="[Attendance1]" displayFolder="" count="0" memberValueDatatype="130" unbalanced="0"/>
    <cacheHierarchy uniqueName="[Attendance1].[Date]" caption="Date" attribute="1" time="1" defaultMemberUniqueName="[Attendance1].[Date].[All]" allUniqueName="[Attendance1].[Date].[All]" dimensionUniqueName="[Attendance1]" displayFolder="" count="0" memberValueDatatype="7" unbalanced="0"/>
    <cacheHierarchy uniqueName="[Attendance1].[Employee_ID]" caption="Employee_ID" attribute="1" defaultMemberUniqueName="[Attendance1].[Employee_ID].[All]" allUniqueName="[Attendance1].[Employee_ID].[All]" dimensionUniqueName="[Attendance1]" displayFolder="" count="0" memberValueDatatype="130" unbalanced="0"/>
    <cacheHierarchy uniqueName="[Attendance1].[Attendance_Status]" caption="Attendance_Status" attribute="1" defaultMemberUniqueName="[Attendance1].[Attendance_Status].[All]" allUniqueName="[Attendance1].[Attendance_Status].[All]" dimensionUniqueName="[Attendance1]" displayFolder="" count="0" memberValueDatatype="130" unbalanced="0"/>
    <cacheHierarchy uniqueName="[Attendance1].[Login_Time]" caption="Login_Time" attribute="1" time="1" defaultMemberUniqueName="[Attendance1].[Login_Time].[All]" allUniqueName="[Attendance1].[Login_Time].[All]" dimensionUniqueName="[Attendance1]" displayFolder="" count="0" memberValueDatatype="7" unbalanced="0"/>
    <cacheHierarchy uniqueName="[Attendance1].[Logout_Time]" caption="Logout_Time" attribute="1" time="1" defaultMemberUniqueName="[Attendance1].[Logout_Time].[All]" allUniqueName="[Attendance1].[Logout_Time].[All]" dimensionUniqueName="[Attendance1]" displayFolder="" count="0" memberValueDatatype="7" unbalanced="0"/>
    <cacheHierarchy uniqueName="[Attendance1].[Late_Login]" caption="Late_Login" attribute="1" defaultMemberUniqueName="[Attendance1].[Late_Login].[All]" allUniqueName="[Attendance1].[Late_Login].[All]" dimensionUniqueName="[Attendance1]" displayFolder="" count="0" memberValueDatatype="130" unbalanced="0"/>
    <cacheHierarchy uniqueName="[Clean_QC_Audit].[Audit_ID]" caption="Audit_ID" attribute="1" defaultMemberUniqueName="[Clean_QC_Audit].[Audit_ID].[All]" allUniqueName="[Clean_QC_Audit].[Audit_ID].[All]" dimensionUniqueName="[Clean_QC_Audit]" displayFolder="" count="0" memberValueDatatype="130" unbalanced="0"/>
    <cacheHierarchy uniqueName="[Clean_QC_Audit].[Audit_Date]" caption="Audit_Date" attribute="1" time="1" defaultMemberUniqueName="[Clean_QC_Audit].[Audit_Date].[All]" allUniqueName="[Clean_QC_Audit].[Audit_Date].[All]" dimensionUniqueName="[Clean_QC_Audit]" displayFolder="" count="0" memberValueDatatype="7" unbalanced="0"/>
    <cacheHierarchy uniqueName="[Clean_QC_Audit].[Employee_ID]" caption="Employee_ID" attribute="1" defaultMemberUniqueName="[Clean_QC_Audit].[Employee_ID].[All]" allUniqueName="[Clean_QC_Audit].[Employee_ID].[All]" dimensionUniqueName="[Clean_QC_Audit]" displayFolder="" count="0" memberValueDatatype="130" unbalanced="0"/>
    <cacheHierarchy uniqueName="[Clean_QC_Audit].[Cases_Audited]" caption="Cases_Audited" attribute="1" defaultMemberUniqueName="[Clean_QC_Audit].[Cases_Audited].[All]" allUniqueName="[Clean_QC_Audit].[Cases_Audited].[All]" dimensionUniqueName="[Clean_QC_Audit]" displayFolder="" count="0" memberValueDatatype="20" unbalanced="0"/>
    <cacheHierarchy uniqueName="[Clean_QC_Audit].[Audit_Score]" caption="Audit_Score" attribute="1" defaultMemberUniqueName="[Clean_QC_Audit].[Audit_Score].[All]" allUniqueName="[Clean_QC_Audit].[Audit_Score].[All]" dimensionUniqueName="[Clean_QC_Audit]" displayFolder="" count="0" memberValueDatatype="20" unbalanced="0"/>
    <cacheHierarchy uniqueName="[Clean_QC_Audit].[Critical_Errors]" caption="Critical_Errors" attribute="1" defaultMemberUniqueName="[Clean_QC_Audit].[Critical_Errors].[All]" allUniqueName="[Clean_QC_Audit].[Critical_Errors].[All]" dimensionUniqueName="[Clean_QC_Audit]" displayFolder="" count="0" memberValueDatatype="20" unbalanced="0"/>
    <cacheHierarchy uniqueName="[Clean_QC_Audit].[Major_Errors]" caption="Major_Errors" attribute="1" defaultMemberUniqueName="[Clean_QC_Audit].[Major_Errors].[All]" allUniqueName="[Clean_QC_Audit].[Major_Errors].[All]" dimensionUniqueName="[Clean_QC_Audit]" displayFolder="" count="0" memberValueDatatype="20" unbalanced="0"/>
    <cacheHierarchy uniqueName="[Clean_QC_Audit].[Minor_Errors]" caption="Minor_Errors" attribute="1" defaultMemberUniqueName="[Clean_QC_Audit].[Minor_Errors].[All]" allUniqueName="[Clean_QC_Audit].[Minor_Errors].[All]" dimensionUniqueName="[Clean_QC_Audit]" displayFolder="" count="0" memberValueDatatype="20" unbalanced="0"/>
    <cacheHierarchy uniqueName="[Clean_QC_Audit].[Auditor]" caption="Auditor" attribute="1" defaultMemberUniqueName="[Clean_QC_Audit].[Auditor].[All]" allUniqueName="[Clean_QC_Audit].[Auditor].[All]" dimensionUniqueName="[Clean_QC_Audit]" displayFolder="" count="0" memberValueDatatype="130" unbalanced="0"/>
    <cacheHierarchy uniqueName="[Clean_QC_Audit].[Month Name]" caption="Month Name" attribute="1" defaultMemberUniqueName="[Clean_QC_Audit].[Month Name].[All]" allUniqueName="[Clean_QC_Audit].[Month Name].[All]" dimensionUniqueName="[Clean_QC_Audit]" displayFolder="" count="2" memberValueDatatype="130" unbalanced="0">
      <fieldsUsage count="2">
        <fieldUsage x="-1"/>
        <fieldUsage x="1"/>
      </fieldsUsage>
    </cacheHierarchy>
    <cacheHierarchy uniqueName="[Clean_QC_Audit].[Total Errors]" caption="Total Errors" attribute="1" defaultMemberUniqueName="[Clean_QC_Audit].[Total Errors].[All]" allUniqueName="[Clean_QC_Audit].[Total Errors].[All]" dimensionUniqueName="[Clean_QC_Audit]" displayFolder="" count="0" memberValueDatatype="20" unbalanced="0"/>
    <cacheHierarchy uniqueName="[Clean_QC_Audit].[Audit Result]" caption="Audit Result" attribute="1" defaultMemberUniqueName="[Clean_QC_Audit].[Audit Result].[All]" allUniqueName="[Clean_QC_Audit].[Audit Result].[All]" dimensionUniqueName="[Clean_QC_Audit]" displayFolder="" count="0" memberValueDatatype="130" unbalanced="0"/>
    <cacheHierarchy uniqueName="[Clean_QC_Audit].[Audit_Date (Month)]" caption="Audit_Date (Month)" attribute="1" defaultMemberUniqueName="[Clean_QC_Audit].[Audit_Date (Month)].[All]" allUniqueName="[Clean_QC_Audit].[Audit_Date (Month)].[All]" dimensionUniqueName="[Clean_QC_Audit]" displayFolder="" count="0" memberValueDatatype="130" unbalanced="0"/>
    <cacheHierarchy uniqueName="[Employee_Master].[Employee_ID]" caption="Employee_ID" attribute="1" defaultMemberUniqueName="[Employee_Master].[Employee_ID].[All]" allUniqueName="[Employee_Master].[Employee_ID].[All]" dimensionUniqueName="[Employee_Master]" displayFolder="" count="0" memberValueDatatype="130" unbalanced="0"/>
    <cacheHierarchy uniqueName="[Employee_Master].[Employee_Name]" caption="Employee_Name" attribute="1" defaultMemberUniqueName="[Employee_Master].[Employee_Name].[All]" allUniqueName="[Employee_Master].[Employee_Name].[All]" dimensionUniqueName="[Employee_Master]" displayFolder="" count="0" memberValueDatatype="130" unbalanced="0"/>
    <cacheHierarchy uniqueName="[Employee_Master].[Email]" caption="Email" attribute="1" defaultMemberUniqueName="[Employee_Master].[Email].[All]" allUniqueName="[Employee_Master].[Email].[All]" dimensionUniqueName="[Employee_Master]" displayFolder="" count="0" memberValueDatatype="130" unbalanced="0"/>
    <cacheHierarchy uniqueName="[Employee_Master].[Department]" caption="Department" attribute="1" defaultMemberUniqueName="[Employee_Master].[Department].[All]" allUniqueName="[Employee_Master].[Department].[All]" dimensionUniqueName="[Employee_Master]" displayFolder="" count="0" memberValueDatatype="130" unbalanced="0"/>
    <cacheHierarchy uniqueName="[Employee_Master].[Process]" caption="Process" attribute="1" defaultMemberUniqueName="[Employee_Master].[Process].[All]" allUniqueName="[Employee_Master].[Process].[All]" dimensionUniqueName="[Employee_Master]" displayFolder="" count="2" memberValueDatatype="130" unbalanced="0"/>
    <cacheHierarchy uniqueName="[Employee_Master].[Team]" caption="Team" attribute="1" defaultMemberUniqueName="[Employee_Master].[Team].[All]" allUniqueName="[Employee_Master].[Team].[All]" dimensionUniqueName="[Employee_Master]" displayFolder="" count="0" memberValueDatatype="130" unbalanced="0"/>
    <cacheHierarchy uniqueName="[Employee_Master].[Designation]" caption="Designation" attribute="1" defaultMemberUniqueName="[Employee_Master].[Designation].[All]" allUniqueName="[Employee_Master].[Designation].[All]" dimensionUniqueName="[Employee_Master]" displayFolder="" count="0" memberValueDatatype="130" unbalanced="0"/>
    <cacheHierarchy uniqueName="[Employee_Master].[Manager_ID]" caption="Manager_ID" attribute="1" defaultMemberUniqueName="[Employee_Master].[Manager_ID].[All]" allUniqueName="[Employee_Master].[Manager_ID].[All]" dimensionUniqueName="[Employee_Master]" displayFolder="" count="0" memberValueDatatype="130" unbalanced="0"/>
    <cacheHierarchy uniqueName="[Employee_Master].[Manager_Name]" caption="Manager_Name" attribute="1" defaultMemberUniqueName="[Employee_Master].[Manager_Name].[All]" allUniqueName="[Employee_Master].[Manager_Name].[All]" dimensionUniqueName="[Employee_Master]" displayFolder="" count="0" memberValueDatatype="130" unbalanced="0"/>
    <cacheHierarchy uniqueName="[Employee_Master].[DOJ]" caption="DOJ" attribute="1" time="1" defaultMemberUniqueName="[Employee_Master].[DOJ].[All]" allUniqueName="[Employee_Master].[DOJ].[All]" dimensionUniqueName="[Employee_Master]" displayFolder="" count="0" memberValueDatatype="7" unbalanced="0"/>
    <cacheHierarchy uniqueName="[Employee_Master].[Location]" caption="Location" attribute="1" defaultMemberUniqueName="[Employee_Master].[Location].[All]" allUniqueName="[Employee_Master].[Location].[All]" dimensionUniqueName="[Employee_Master]" displayFolder="" count="0" memberValueDatatype="130" unbalanced="0"/>
    <cacheHierarchy uniqueName="[Employee_Master].[Shift]" caption="Shift" attribute="1" defaultMemberUniqueName="[Employee_Master].[Shift].[All]" allUniqueName="[Employee_Master].[Shift].[All]" dimensionUniqueName="[Employee_Master]" displayFolder="" count="0" memberValueDatatype="130" unbalanced="0"/>
    <cacheHierarchy uniqueName="[Employee_Master].[Status]" caption="Status" attribute="1" defaultMemberUniqueName="[Employee_Master].[Status].[All]" allUniqueName="[Employee_Master].[Status].[All]" dimensionUniqueName="[Employee_Master]" displayFolder="" count="0" memberValueDatatype="130" unbalanced="0"/>
    <cacheHierarchy uniqueName="[Employee_Master].[Employee_Name - Copy]" caption="Employee_Name - Copy" attribute="1" defaultMemberUniqueName="[Employee_Master].[Employee_Name - Copy].[All]" allUniqueName="[Employee_Master].[Employee_Name - Copy].[All]" dimensionUniqueName="[Employee_Master]" displayFolder="" count="0" memberValueDatatype="130" unbalanced="0"/>
    <cacheHierarchy uniqueName="[Clean_QC_Audit].[Audit_Date (Month Index)]" caption="Audit_Date (Month Index)" attribute="1" defaultMemberUniqueName="[Clean_QC_Audit].[Audit_Date (Month Index)].[All]" allUniqueName="[Clean_QC_Audit].[Audit_Date (Month Index)].[All]" dimensionUniqueName="[Clean_QC_Audit]" displayFolder="" count="0" memberValueDatatype="20" unbalanced="0" hidden="1"/>
    <cacheHierarchy uniqueName="[Measures].[__XL_Count Clean_QC_Audit]" caption="__XL_Count Clean_QC_Audit" measure="1" displayFolder="" measureGroup="Clean_QC_Audit" count="0" hidden="1"/>
    <cacheHierarchy uniqueName="[Measures].[__XL_Count Attendance1]" caption="__XL_Count Attendance1" measure="1" displayFolder="" measureGroup="Attendance1" count="0" hidden="1"/>
    <cacheHierarchy uniqueName="[Measures].[__XL_Count Employee_Master]" caption="__XL_Count Employee_Master" measure="1" displayFolder="" measureGroup="Employee_Master" count="0" hidden="1"/>
    <cacheHierarchy uniqueName="[Measures].[__No measures defined]" caption="__No measures defined" measure="1" displayFolder="" count="0" hidden="1"/>
    <cacheHierarchy uniqueName="[Measures].[Sum of Cases_Audited]" caption="Sum of Cases_Audited" measure="1" displayFolder="" measureGroup="Clean_QC_Audit" count="0" hidden="1">
      <extLst>
        <ext xmlns:x15="http://schemas.microsoft.com/office/spreadsheetml/2010/11/main" uri="{B97F6D7D-B522-45F9-BDA1-12C45D357490}">
          <x15:cacheHierarchy aggregatedColumn="10"/>
        </ext>
      </extLst>
    </cacheHierarchy>
    <cacheHierarchy uniqueName="[Measures].[Count of Audit_ID]" caption="Count of Audit_ID" measure="1" displayFolder="" measureGroup="Clean_QC_Audit" count="0" hidden="1">
      <extLst>
        <ext xmlns:x15="http://schemas.microsoft.com/office/spreadsheetml/2010/11/main" uri="{B97F6D7D-B522-45F9-BDA1-12C45D357490}">
          <x15:cacheHierarchy aggregatedColumn="7"/>
        </ext>
      </extLst>
    </cacheHierarchy>
    <cacheHierarchy uniqueName="[Measures].[Sum of Audit_Score]" caption="Sum of Audit_Score" measure="1" displayFolder="" measureGroup="Clean_QC_Audit" count="0" hidden="1">
      <extLst>
        <ext xmlns:x15="http://schemas.microsoft.com/office/spreadsheetml/2010/11/main" uri="{B97F6D7D-B522-45F9-BDA1-12C45D357490}">
          <x15:cacheHierarchy aggregatedColumn="11"/>
        </ext>
      </extLst>
    </cacheHierarchy>
    <cacheHierarchy uniqueName="[Measures].[Average of Audit_Score]" caption="Average of Audit_Score" measure="1" displayFolder="" measureGroup="Clean_QC_Audit" count="0" hidden="1">
      <extLst>
        <ext xmlns:x15="http://schemas.microsoft.com/office/spreadsheetml/2010/11/main" uri="{B97F6D7D-B522-45F9-BDA1-12C45D357490}">
          <x15:cacheHierarchy aggregatedColumn="11"/>
        </ext>
      </extLst>
    </cacheHierarchy>
    <cacheHierarchy uniqueName="[Measures].[Max of Audit_Score]" caption="Max of Audit_Score" measure="1" displayFolder="" measureGroup="Clean_QC_Audit" count="0" hidden="1">
      <extLst>
        <ext xmlns:x15="http://schemas.microsoft.com/office/spreadsheetml/2010/11/main" uri="{B97F6D7D-B522-45F9-BDA1-12C45D357490}">
          <x15:cacheHierarchy aggregatedColumn="11"/>
        </ext>
      </extLst>
    </cacheHierarchy>
    <cacheHierarchy uniqueName="[Measures].[Min of Audit_Score]" caption="Min of Audit_Score" measure="1" displayFolder="" measureGroup="Clean_QC_Audit"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Audit Result]" caption="Count of Audit Result" measure="1" displayFolder="" measureGroup="Clean_QC_Audit" count="0" hidden="1">
      <extLst>
        <ext xmlns:x15="http://schemas.microsoft.com/office/spreadsheetml/2010/11/main" uri="{B97F6D7D-B522-45F9-BDA1-12C45D357490}">
          <x15:cacheHierarchy aggregatedColumn="18"/>
        </ext>
      </extLst>
    </cacheHierarchy>
    <cacheHierarchy uniqueName="[Measures].[Sum of Critical_Errors]" caption="Sum of Critical_Errors" measure="1" displayFolder="" measureGroup="Clean_QC_Audit" count="0" hidden="1">
      <extLst>
        <ext xmlns:x15="http://schemas.microsoft.com/office/spreadsheetml/2010/11/main" uri="{B97F6D7D-B522-45F9-BDA1-12C45D357490}">
          <x15:cacheHierarchy aggregatedColumn="12"/>
        </ext>
      </extLst>
    </cacheHierarchy>
    <cacheHierarchy uniqueName="[Measures].[Sum of Major_Errors]" caption="Sum of Major_Errors" measure="1" displayFolder="" measureGroup="Clean_QC_Audit" count="0" hidden="1">
      <extLst>
        <ext xmlns:x15="http://schemas.microsoft.com/office/spreadsheetml/2010/11/main" uri="{B97F6D7D-B522-45F9-BDA1-12C45D357490}">
          <x15:cacheHierarchy aggregatedColumn="13"/>
        </ext>
      </extLst>
    </cacheHierarchy>
    <cacheHierarchy uniqueName="[Measures].[Sum of Minor_Errors]" caption="Sum of Minor_Errors" measure="1" displayFolder="" measureGroup="Clean_QC_Audit" count="0" hidden="1">
      <extLst>
        <ext xmlns:x15="http://schemas.microsoft.com/office/spreadsheetml/2010/11/main" uri="{B97F6D7D-B522-45F9-BDA1-12C45D357490}">
          <x15:cacheHierarchy aggregatedColumn="14"/>
        </ext>
      </extLst>
    </cacheHierarchy>
    <cacheHierarchy uniqueName="[Measures].[Count of Total Errors]" caption="Count of Total Errors" measure="1" displayFolder="" measureGroup="Clean_QC_Audit" count="0" hidden="1">
      <extLst>
        <ext xmlns:x15="http://schemas.microsoft.com/office/spreadsheetml/2010/11/main" uri="{B97F6D7D-B522-45F9-BDA1-12C45D357490}">
          <x15:cacheHierarchy aggregatedColumn="17"/>
        </ext>
      </extLst>
    </cacheHierarchy>
    <cacheHierarchy uniqueName="[Measures].[Sum of Total Errors]" caption="Sum of Total Errors" measure="1" displayFolder="" measureGroup="Clean_QC_Audit" count="0" hidden="1">
      <extLst>
        <ext xmlns:x15="http://schemas.microsoft.com/office/spreadsheetml/2010/11/main" uri="{B97F6D7D-B522-45F9-BDA1-12C45D357490}">
          <x15:cacheHierarchy aggregatedColumn="17"/>
        </ext>
      </extLst>
    </cacheHierarchy>
    <cacheHierarchy uniqueName="[Measures].[Average of Total Errors]" caption="Average of Total Errors" measure="1" displayFolder="" measureGroup="Clean_QC_Audit" count="0" hidden="1">
      <extLst>
        <ext xmlns:x15="http://schemas.microsoft.com/office/spreadsheetml/2010/11/main" uri="{B97F6D7D-B522-45F9-BDA1-12C45D357490}">
          <x15:cacheHierarchy aggregatedColumn="17"/>
        </ext>
      </extLst>
    </cacheHierarchy>
  </cacheHierarchies>
  <kpis count="0"/>
  <dimensions count="4">
    <dimension name="Attendance1" uniqueName="[Attendance1]" caption="Attendance1"/>
    <dimension name="Clean_QC_Audit" uniqueName="[Clean_QC_Audit]" caption="Clean_QC_Audit"/>
    <dimension name="Employee_Master" uniqueName="[Employee_Master]" caption="Employee_Master"/>
    <dimension measure="1" name="Measures" uniqueName="[Measures]" caption="Measures"/>
  </dimensions>
  <measureGroups count="3">
    <measureGroup name="Attendance1" caption="Attendance1"/>
    <measureGroup name="Clean_QC_Audit" caption="Clean_QC_Audit"/>
    <measureGroup name="Employee_Master" caption="Employee_Master"/>
  </measureGroups>
  <maps count="4">
    <map measureGroup="0"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oth G R" refreshedDate="46274.221938657407" createdVersion="5" refreshedVersion="8" minRefreshableVersion="3" recordCount="0" supportSubquery="1" supportAdvancedDrill="1" xr:uid="{299A7021-2131-4AE0-B9C9-B017FA387D1E}">
  <cacheSource type="external" connectionId="9"/>
  <cacheFields count="2">
    <cacheField name="[Measures].[Max of Audit_Score]" caption="Max of Audit_Score" numFmtId="0" hierarchy="43" level="32767"/>
    <cacheField name="[Clean_QC_Audit].[Month Name].[Month Name]" caption="Month Name" numFmtId="0" hierarchy="16" level="1">
      <sharedItems containsSemiMixedTypes="0" containsNonDate="0" containsString="0"/>
    </cacheField>
  </cacheFields>
  <cacheHierarchies count="52">
    <cacheHierarchy uniqueName="[Attendance1].[Attendance_ID]" caption="Attendance_ID" attribute="1" defaultMemberUniqueName="[Attendance1].[Attendance_ID].[All]" allUniqueName="[Attendance1].[Attendance_ID].[All]" dimensionUniqueName="[Attendance1]" displayFolder="" count="0" memberValueDatatype="130" unbalanced="0"/>
    <cacheHierarchy uniqueName="[Attendance1].[Date]" caption="Date" attribute="1" time="1" defaultMemberUniqueName="[Attendance1].[Date].[All]" allUniqueName="[Attendance1].[Date].[All]" dimensionUniqueName="[Attendance1]" displayFolder="" count="0" memberValueDatatype="7" unbalanced="0"/>
    <cacheHierarchy uniqueName="[Attendance1].[Employee_ID]" caption="Employee_ID" attribute="1" defaultMemberUniqueName="[Attendance1].[Employee_ID].[All]" allUniqueName="[Attendance1].[Employee_ID].[All]" dimensionUniqueName="[Attendance1]" displayFolder="" count="0" memberValueDatatype="130" unbalanced="0"/>
    <cacheHierarchy uniqueName="[Attendance1].[Attendance_Status]" caption="Attendance_Status" attribute="1" defaultMemberUniqueName="[Attendance1].[Attendance_Status].[All]" allUniqueName="[Attendance1].[Attendance_Status].[All]" dimensionUniqueName="[Attendance1]" displayFolder="" count="0" memberValueDatatype="130" unbalanced="0"/>
    <cacheHierarchy uniqueName="[Attendance1].[Login_Time]" caption="Login_Time" attribute="1" time="1" defaultMemberUniqueName="[Attendance1].[Login_Time].[All]" allUniqueName="[Attendance1].[Login_Time].[All]" dimensionUniqueName="[Attendance1]" displayFolder="" count="0" memberValueDatatype="7" unbalanced="0"/>
    <cacheHierarchy uniqueName="[Attendance1].[Logout_Time]" caption="Logout_Time" attribute="1" time="1" defaultMemberUniqueName="[Attendance1].[Logout_Time].[All]" allUniqueName="[Attendance1].[Logout_Time].[All]" dimensionUniqueName="[Attendance1]" displayFolder="" count="0" memberValueDatatype="7" unbalanced="0"/>
    <cacheHierarchy uniqueName="[Attendance1].[Late_Login]" caption="Late_Login" attribute="1" defaultMemberUniqueName="[Attendance1].[Late_Login].[All]" allUniqueName="[Attendance1].[Late_Login].[All]" dimensionUniqueName="[Attendance1]" displayFolder="" count="0" memberValueDatatype="130" unbalanced="0"/>
    <cacheHierarchy uniqueName="[Clean_QC_Audit].[Audit_ID]" caption="Audit_ID" attribute="1" defaultMemberUniqueName="[Clean_QC_Audit].[Audit_ID].[All]" allUniqueName="[Clean_QC_Audit].[Audit_ID].[All]" dimensionUniqueName="[Clean_QC_Audit]" displayFolder="" count="0" memberValueDatatype="130" unbalanced="0"/>
    <cacheHierarchy uniqueName="[Clean_QC_Audit].[Audit_Date]" caption="Audit_Date" attribute="1" time="1" defaultMemberUniqueName="[Clean_QC_Audit].[Audit_Date].[All]" allUniqueName="[Clean_QC_Audit].[Audit_Date].[All]" dimensionUniqueName="[Clean_QC_Audit]" displayFolder="" count="0" memberValueDatatype="7" unbalanced="0"/>
    <cacheHierarchy uniqueName="[Clean_QC_Audit].[Employee_ID]" caption="Employee_ID" attribute="1" defaultMemberUniqueName="[Clean_QC_Audit].[Employee_ID].[All]" allUniqueName="[Clean_QC_Audit].[Employee_ID].[All]" dimensionUniqueName="[Clean_QC_Audit]" displayFolder="" count="0" memberValueDatatype="130" unbalanced="0"/>
    <cacheHierarchy uniqueName="[Clean_QC_Audit].[Cases_Audited]" caption="Cases_Audited" attribute="1" defaultMemberUniqueName="[Clean_QC_Audit].[Cases_Audited].[All]" allUniqueName="[Clean_QC_Audit].[Cases_Audited].[All]" dimensionUniqueName="[Clean_QC_Audit]" displayFolder="" count="0" memberValueDatatype="20" unbalanced="0"/>
    <cacheHierarchy uniqueName="[Clean_QC_Audit].[Audit_Score]" caption="Audit_Score" attribute="1" defaultMemberUniqueName="[Clean_QC_Audit].[Audit_Score].[All]" allUniqueName="[Clean_QC_Audit].[Audit_Score].[All]" dimensionUniqueName="[Clean_QC_Audit]" displayFolder="" count="0" memberValueDatatype="20" unbalanced="0"/>
    <cacheHierarchy uniqueName="[Clean_QC_Audit].[Critical_Errors]" caption="Critical_Errors" attribute="1" defaultMemberUniqueName="[Clean_QC_Audit].[Critical_Errors].[All]" allUniqueName="[Clean_QC_Audit].[Critical_Errors].[All]" dimensionUniqueName="[Clean_QC_Audit]" displayFolder="" count="0" memberValueDatatype="20" unbalanced="0"/>
    <cacheHierarchy uniqueName="[Clean_QC_Audit].[Major_Errors]" caption="Major_Errors" attribute="1" defaultMemberUniqueName="[Clean_QC_Audit].[Major_Errors].[All]" allUniqueName="[Clean_QC_Audit].[Major_Errors].[All]" dimensionUniqueName="[Clean_QC_Audit]" displayFolder="" count="0" memberValueDatatype="20" unbalanced="0"/>
    <cacheHierarchy uniqueName="[Clean_QC_Audit].[Minor_Errors]" caption="Minor_Errors" attribute="1" defaultMemberUniqueName="[Clean_QC_Audit].[Minor_Errors].[All]" allUniqueName="[Clean_QC_Audit].[Minor_Errors].[All]" dimensionUniqueName="[Clean_QC_Audit]" displayFolder="" count="0" memberValueDatatype="20" unbalanced="0"/>
    <cacheHierarchy uniqueName="[Clean_QC_Audit].[Auditor]" caption="Auditor" attribute="1" defaultMemberUniqueName="[Clean_QC_Audit].[Auditor].[All]" allUniqueName="[Clean_QC_Audit].[Auditor].[All]" dimensionUniqueName="[Clean_QC_Audit]" displayFolder="" count="0" memberValueDatatype="130" unbalanced="0"/>
    <cacheHierarchy uniqueName="[Clean_QC_Audit].[Month Name]" caption="Month Name" attribute="1" defaultMemberUniqueName="[Clean_QC_Audit].[Month Name].[All]" allUniqueName="[Clean_QC_Audit].[Month Name].[All]" dimensionUniqueName="[Clean_QC_Audit]" displayFolder="" count="2" memberValueDatatype="130" unbalanced="0">
      <fieldsUsage count="2">
        <fieldUsage x="-1"/>
        <fieldUsage x="1"/>
      </fieldsUsage>
    </cacheHierarchy>
    <cacheHierarchy uniqueName="[Clean_QC_Audit].[Total Errors]" caption="Total Errors" attribute="1" defaultMemberUniqueName="[Clean_QC_Audit].[Total Errors].[All]" allUniqueName="[Clean_QC_Audit].[Total Errors].[All]" dimensionUniqueName="[Clean_QC_Audit]" displayFolder="" count="0" memberValueDatatype="20" unbalanced="0"/>
    <cacheHierarchy uniqueName="[Clean_QC_Audit].[Audit Result]" caption="Audit Result" attribute="1" defaultMemberUniqueName="[Clean_QC_Audit].[Audit Result].[All]" allUniqueName="[Clean_QC_Audit].[Audit Result].[All]" dimensionUniqueName="[Clean_QC_Audit]" displayFolder="" count="0" memberValueDatatype="130" unbalanced="0"/>
    <cacheHierarchy uniqueName="[Clean_QC_Audit].[Audit_Date (Month)]" caption="Audit_Date (Month)" attribute="1" defaultMemberUniqueName="[Clean_QC_Audit].[Audit_Date (Month)].[All]" allUniqueName="[Clean_QC_Audit].[Audit_Date (Month)].[All]" dimensionUniqueName="[Clean_QC_Audit]" displayFolder="" count="0" memberValueDatatype="130" unbalanced="0"/>
    <cacheHierarchy uniqueName="[Employee_Master].[Employee_ID]" caption="Employee_ID" attribute="1" defaultMemberUniqueName="[Employee_Master].[Employee_ID].[All]" allUniqueName="[Employee_Master].[Employee_ID].[All]" dimensionUniqueName="[Employee_Master]" displayFolder="" count="0" memberValueDatatype="130" unbalanced="0"/>
    <cacheHierarchy uniqueName="[Employee_Master].[Employee_Name]" caption="Employee_Name" attribute="1" defaultMemberUniqueName="[Employee_Master].[Employee_Name].[All]" allUniqueName="[Employee_Master].[Employee_Name].[All]" dimensionUniqueName="[Employee_Master]" displayFolder="" count="0" memberValueDatatype="130" unbalanced="0"/>
    <cacheHierarchy uniqueName="[Employee_Master].[Email]" caption="Email" attribute="1" defaultMemberUniqueName="[Employee_Master].[Email].[All]" allUniqueName="[Employee_Master].[Email].[All]" dimensionUniqueName="[Employee_Master]" displayFolder="" count="0" memberValueDatatype="130" unbalanced="0"/>
    <cacheHierarchy uniqueName="[Employee_Master].[Department]" caption="Department" attribute="1" defaultMemberUniqueName="[Employee_Master].[Department].[All]" allUniqueName="[Employee_Master].[Department].[All]" dimensionUniqueName="[Employee_Master]" displayFolder="" count="0" memberValueDatatype="130" unbalanced="0"/>
    <cacheHierarchy uniqueName="[Employee_Master].[Process]" caption="Process" attribute="1" defaultMemberUniqueName="[Employee_Master].[Process].[All]" allUniqueName="[Employee_Master].[Process].[All]" dimensionUniqueName="[Employee_Master]" displayFolder="" count="2" memberValueDatatype="130" unbalanced="0"/>
    <cacheHierarchy uniqueName="[Employee_Master].[Team]" caption="Team" attribute="1" defaultMemberUniqueName="[Employee_Master].[Team].[All]" allUniqueName="[Employee_Master].[Team].[All]" dimensionUniqueName="[Employee_Master]" displayFolder="" count="0" memberValueDatatype="130" unbalanced="0"/>
    <cacheHierarchy uniqueName="[Employee_Master].[Designation]" caption="Designation" attribute="1" defaultMemberUniqueName="[Employee_Master].[Designation].[All]" allUniqueName="[Employee_Master].[Designation].[All]" dimensionUniqueName="[Employee_Master]" displayFolder="" count="0" memberValueDatatype="130" unbalanced="0"/>
    <cacheHierarchy uniqueName="[Employee_Master].[Manager_ID]" caption="Manager_ID" attribute="1" defaultMemberUniqueName="[Employee_Master].[Manager_ID].[All]" allUniqueName="[Employee_Master].[Manager_ID].[All]" dimensionUniqueName="[Employee_Master]" displayFolder="" count="0" memberValueDatatype="130" unbalanced="0"/>
    <cacheHierarchy uniqueName="[Employee_Master].[Manager_Name]" caption="Manager_Name" attribute="1" defaultMemberUniqueName="[Employee_Master].[Manager_Name].[All]" allUniqueName="[Employee_Master].[Manager_Name].[All]" dimensionUniqueName="[Employee_Master]" displayFolder="" count="0" memberValueDatatype="130" unbalanced="0"/>
    <cacheHierarchy uniqueName="[Employee_Master].[DOJ]" caption="DOJ" attribute="1" time="1" defaultMemberUniqueName="[Employee_Master].[DOJ].[All]" allUniqueName="[Employee_Master].[DOJ].[All]" dimensionUniqueName="[Employee_Master]" displayFolder="" count="0" memberValueDatatype="7" unbalanced="0"/>
    <cacheHierarchy uniqueName="[Employee_Master].[Location]" caption="Location" attribute="1" defaultMemberUniqueName="[Employee_Master].[Location].[All]" allUniqueName="[Employee_Master].[Location].[All]" dimensionUniqueName="[Employee_Master]" displayFolder="" count="0" memberValueDatatype="130" unbalanced="0"/>
    <cacheHierarchy uniqueName="[Employee_Master].[Shift]" caption="Shift" attribute="1" defaultMemberUniqueName="[Employee_Master].[Shift].[All]" allUniqueName="[Employee_Master].[Shift].[All]" dimensionUniqueName="[Employee_Master]" displayFolder="" count="0" memberValueDatatype="130" unbalanced="0"/>
    <cacheHierarchy uniqueName="[Employee_Master].[Status]" caption="Status" attribute="1" defaultMemberUniqueName="[Employee_Master].[Status].[All]" allUniqueName="[Employee_Master].[Status].[All]" dimensionUniqueName="[Employee_Master]" displayFolder="" count="0" memberValueDatatype="130" unbalanced="0"/>
    <cacheHierarchy uniqueName="[Employee_Master].[Employee_Name - Copy]" caption="Employee_Name - Copy" attribute="1" defaultMemberUniqueName="[Employee_Master].[Employee_Name - Copy].[All]" allUniqueName="[Employee_Master].[Employee_Name - Copy].[All]" dimensionUniqueName="[Employee_Master]" displayFolder="" count="0" memberValueDatatype="130" unbalanced="0"/>
    <cacheHierarchy uniqueName="[Clean_QC_Audit].[Audit_Date (Month Index)]" caption="Audit_Date (Month Index)" attribute="1" defaultMemberUniqueName="[Clean_QC_Audit].[Audit_Date (Month Index)].[All]" allUniqueName="[Clean_QC_Audit].[Audit_Date (Month Index)].[All]" dimensionUniqueName="[Clean_QC_Audit]" displayFolder="" count="0" memberValueDatatype="20" unbalanced="0" hidden="1"/>
    <cacheHierarchy uniqueName="[Measures].[__XL_Count Clean_QC_Audit]" caption="__XL_Count Clean_QC_Audit" measure="1" displayFolder="" measureGroup="Clean_QC_Audit" count="0" hidden="1"/>
    <cacheHierarchy uniqueName="[Measures].[__XL_Count Attendance1]" caption="__XL_Count Attendance1" measure="1" displayFolder="" measureGroup="Attendance1" count="0" hidden="1"/>
    <cacheHierarchy uniqueName="[Measures].[__XL_Count Employee_Master]" caption="__XL_Count Employee_Master" measure="1" displayFolder="" measureGroup="Employee_Master" count="0" hidden="1"/>
    <cacheHierarchy uniqueName="[Measures].[__No measures defined]" caption="__No measures defined" measure="1" displayFolder="" count="0" hidden="1"/>
    <cacheHierarchy uniqueName="[Measures].[Sum of Cases_Audited]" caption="Sum of Cases_Audited" measure="1" displayFolder="" measureGroup="Clean_QC_Audit" count="0" hidden="1">
      <extLst>
        <ext xmlns:x15="http://schemas.microsoft.com/office/spreadsheetml/2010/11/main" uri="{B97F6D7D-B522-45F9-BDA1-12C45D357490}">
          <x15:cacheHierarchy aggregatedColumn="10"/>
        </ext>
      </extLst>
    </cacheHierarchy>
    <cacheHierarchy uniqueName="[Measures].[Count of Audit_ID]" caption="Count of Audit_ID" measure="1" displayFolder="" measureGroup="Clean_QC_Audit" count="0" hidden="1">
      <extLst>
        <ext xmlns:x15="http://schemas.microsoft.com/office/spreadsheetml/2010/11/main" uri="{B97F6D7D-B522-45F9-BDA1-12C45D357490}">
          <x15:cacheHierarchy aggregatedColumn="7"/>
        </ext>
      </extLst>
    </cacheHierarchy>
    <cacheHierarchy uniqueName="[Measures].[Sum of Audit_Score]" caption="Sum of Audit_Score" measure="1" displayFolder="" measureGroup="Clean_QC_Audit" count="0" hidden="1">
      <extLst>
        <ext xmlns:x15="http://schemas.microsoft.com/office/spreadsheetml/2010/11/main" uri="{B97F6D7D-B522-45F9-BDA1-12C45D357490}">
          <x15:cacheHierarchy aggregatedColumn="11"/>
        </ext>
      </extLst>
    </cacheHierarchy>
    <cacheHierarchy uniqueName="[Measures].[Average of Audit_Score]" caption="Average of Audit_Score" measure="1" displayFolder="" measureGroup="Clean_QC_Audit" count="0" hidden="1">
      <extLst>
        <ext xmlns:x15="http://schemas.microsoft.com/office/spreadsheetml/2010/11/main" uri="{B97F6D7D-B522-45F9-BDA1-12C45D357490}">
          <x15:cacheHierarchy aggregatedColumn="11"/>
        </ext>
      </extLst>
    </cacheHierarchy>
    <cacheHierarchy uniqueName="[Measures].[Max of Audit_Score]" caption="Max of Audit_Score" measure="1" displayFolder="" measureGroup="Clean_QC_Audit" count="0" oneField="1" hidden="1">
      <fieldsUsage count="1">
        <fieldUsage x="0"/>
      </fieldsUsage>
      <extLst>
        <ext xmlns:x15="http://schemas.microsoft.com/office/spreadsheetml/2010/11/main" uri="{B97F6D7D-B522-45F9-BDA1-12C45D357490}">
          <x15:cacheHierarchy aggregatedColumn="11"/>
        </ext>
      </extLst>
    </cacheHierarchy>
    <cacheHierarchy uniqueName="[Measures].[Min of Audit_Score]" caption="Min of Audit_Score" measure="1" displayFolder="" measureGroup="Clean_QC_Audit" count="0" hidden="1">
      <extLst>
        <ext xmlns:x15="http://schemas.microsoft.com/office/spreadsheetml/2010/11/main" uri="{B97F6D7D-B522-45F9-BDA1-12C45D357490}">
          <x15:cacheHierarchy aggregatedColumn="11"/>
        </ext>
      </extLst>
    </cacheHierarchy>
    <cacheHierarchy uniqueName="[Measures].[Count of Audit Result]" caption="Count of Audit Result" measure="1" displayFolder="" measureGroup="Clean_QC_Audit" count="0" hidden="1">
      <extLst>
        <ext xmlns:x15="http://schemas.microsoft.com/office/spreadsheetml/2010/11/main" uri="{B97F6D7D-B522-45F9-BDA1-12C45D357490}">
          <x15:cacheHierarchy aggregatedColumn="18"/>
        </ext>
      </extLst>
    </cacheHierarchy>
    <cacheHierarchy uniqueName="[Measures].[Sum of Critical_Errors]" caption="Sum of Critical_Errors" measure="1" displayFolder="" measureGroup="Clean_QC_Audit" count="0" hidden="1">
      <extLst>
        <ext xmlns:x15="http://schemas.microsoft.com/office/spreadsheetml/2010/11/main" uri="{B97F6D7D-B522-45F9-BDA1-12C45D357490}">
          <x15:cacheHierarchy aggregatedColumn="12"/>
        </ext>
      </extLst>
    </cacheHierarchy>
    <cacheHierarchy uniqueName="[Measures].[Sum of Major_Errors]" caption="Sum of Major_Errors" measure="1" displayFolder="" measureGroup="Clean_QC_Audit" count="0" hidden="1">
      <extLst>
        <ext xmlns:x15="http://schemas.microsoft.com/office/spreadsheetml/2010/11/main" uri="{B97F6D7D-B522-45F9-BDA1-12C45D357490}">
          <x15:cacheHierarchy aggregatedColumn="13"/>
        </ext>
      </extLst>
    </cacheHierarchy>
    <cacheHierarchy uniqueName="[Measures].[Sum of Minor_Errors]" caption="Sum of Minor_Errors" measure="1" displayFolder="" measureGroup="Clean_QC_Audit" count="0" hidden="1">
      <extLst>
        <ext xmlns:x15="http://schemas.microsoft.com/office/spreadsheetml/2010/11/main" uri="{B97F6D7D-B522-45F9-BDA1-12C45D357490}">
          <x15:cacheHierarchy aggregatedColumn="14"/>
        </ext>
      </extLst>
    </cacheHierarchy>
    <cacheHierarchy uniqueName="[Measures].[Count of Total Errors]" caption="Count of Total Errors" measure="1" displayFolder="" measureGroup="Clean_QC_Audit" count="0" hidden="1">
      <extLst>
        <ext xmlns:x15="http://schemas.microsoft.com/office/spreadsheetml/2010/11/main" uri="{B97F6D7D-B522-45F9-BDA1-12C45D357490}">
          <x15:cacheHierarchy aggregatedColumn="17"/>
        </ext>
      </extLst>
    </cacheHierarchy>
    <cacheHierarchy uniqueName="[Measures].[Sum of Total Errors]" caption="Sum of Total Errors" measure="1" displayFolder="" measureGroup="Clean_QC_Audit" count="0" hidden="1">
      <extLst>
        <ext xmlns:x15="http://schemas.microsoft.com/office/spreadsheetml/2010/11/main" uri="{B97F6D7D-B522-45F9-BDA1-12C45D357490}">
          <x15:cacheHierarchy aggregatedColumn="17"/>
        </ext>
      </extLst>
    </cacheHierarchy>
    <cacheHierarchy uniqueName="[Measures].[Average of Total Errors]" caption="Average of Total Errors" measure="1" displayFolder="" measureGroup="Clean_QC_Audit" count="0" hidden="1">
      <extLst>
        <ext xmlns:x15="http://schemas.microsoft.com/office/spreadsheetml/2010/11/main" uri="{B97F6D7D-B522-45F9-BDA1-12C45D357490}">
          <x15:cacheHierarchy aggregatedColumn="17"/>
        </ext>
      </extLst>
    </cacheHierarchy>
  </cacheHierarchies>
  <kpis count="0"/>
  <dimensions count="4">
    <dimension name="Attendance1" uniqueName="[Attendance1]" caption="Attendance1"/>
    <dimension name="Clean_QC_Audit" uniqueName="[Clean_QC_Audit]" caption="Clean_QC_Audit"/>
    <dimension name="Employee_Master" uniqueName="[Employee_Master]" caption="Employee_Master"/>
    <dimension measure="1" name="Measures" uniqueName="[Measures]" caption="Measures"/>
  </dimensions>
  <measureGroups count="3">
    <measureGroup name="Attendance1" caption="Attendance1"/>
    <measureGroup name="Clean_QC_Audit" caption="Clean_QC_Audit"/>
    <measureGroup name="Employee_Master" caption="Employee_Master"/>
  </measureGroups>
  <maps count="4">
    <map measureGroup="0"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oth G R" refreshedDate="46274.221939120369" createdVersion="5" refreshedVersion="8" minRefreshableVersion="3" recordCount="0" supportSubquery="1" supportAdvancedDrill="1" xr:uid="{682524D2-4E38-4F48-90E7-58CAC48808A1}">
  <cacheSource type="external" connectionId="9"/>
  <cacheFields count="3">
    <cacheField name="[Measures].[Count of Audit Result]" caption="Count of Audit Result" numFmtId="0" hierarchy="45" level="32767"/>
    <cacheField name="[Clean_QC_Audit].[Audit Result].[Audit Result]" caption="Audit Result" numFmtId="0" hierarchy="18" level="1">
      <sharedItems count="2">
        <s v="Fail"/>
        <s v="Pass"/>
      </sharedItems>
    </cacheField>
    <cacheField name="[Clean_QC_Audit].[Month Name].[Month Name]" caption="Month Name" numFmtId="0" hierarchy="16" level="1">
      <sharedItems containsSemiMixedTypes="0" containsNonDate="0" containsString="0"/>
    </cacheField>
  </cacheFields>
  <cacheHierarchies count="52">
    <cacheHierarchy uniqueName="[Attendance1].[Attendance_ID]" caption="Attendance_ID" attribute="1" defaultMemberUniqueName="[Attendance1].[Attendance_ID].[All]" allUniqueName="[Attendance1].[Attendance_ID].[All]" dimensionUniqueName="[Attendance1]" displayFolder="" count="0" memberValueDatatype="130" unbalanced="0"/>
    <cacheHierarchy uniqueName="[Attendance1].[Date]" caption="Date" attribute="1" time="1" defaultMemberUniqueName="[Attendance1].[Date].[All]" allUniqueName="[Attendance1].[Date].[All]" dimensionUniqueName="[Attendance1]" displayFolder="" count="0" memberValueDatatype="7" unbalanced="0"/>
    <cacheHierarchy uniqueName="[Attendance1].[Employee_ID]" caption="Employee_ID" attribute="1" defaultMemberUniqueName="[Attendance1].[Employee_ID].[All]" allUniqueName="[Attendance1].[Employee_ID].[All]" dimensionUniqueName="[Attendance1]" displayFolder="" count="0" memberValueDatatype="130" unbalanced="0"/>
    <cacheHierarchy uniqueName="[Attendance1].[Attendance_Status]" caption="Attendance_Status" attribute="1" defaultMemberUniqueName="[Attendance1].[Attendance_Status].[All]" allUniqueName="[Attendance1].[Attendance_Status].[All]" dimensionUniqueName="[Attendance1]" displayFolder="" count="0" memberValueDatatype="130" unbalanced="0"/>
    <cacheHierarchy uniqueName="[Attendance1].[Login_Time]" caption="Login_Time" attribute="1" time="1" defaultMemberUniqueName="[Attendance1].[Login_Time].[All]" allUniqueName="[Attendance1].[Login_Time].[All]" dimensionUniqueName="[Attendance1]" displayFolder="" count="0" memberValueDatatype="7" unbalanced="0"/>
    <cacheHierarchy uniqueName="[Attendance1].[Logout_Time]" caption="Logout_Time" attribute="1" time="1" defaultMemberUniqueName="[Attendance1].[Logout_Time].[All]" allUniqueName="[Attendance1].[Logout_Time].[All]" dimensionUniqueName="[Attendance1]" displayFolder="" count="0" memberValueDatatype="7" unbalanced="0"/>
    <cacheHierarchy uniqueName="[Attendance1].[Late_Login]" caption="Late_Login" attribute="1" defaultMemberUniqueName="[Attendance1].[Late_Login].[All]" allUniqueName="[Attendance1].[Late_Login].[All]" dimensionUniqueName="[Attendance1]" displayFolder="" count="0" memberValueDatatype="130" unbalanced="0"/>
    <cacheHierarchy uniqueName="[Clean_QC_Audit].[Audit_ID]" caption="Audit_ID" attribute="1" defaultMemberUniqueName="[Clean_QC_Audit].[Audit_ID].[All]" allUniqueName="[Clean_QC_Audit].[Audit_ID].[All]" dimensionUniqueName="[Clean_QC_Audit]" displayFolder="" count="0" memberValueDatatype="130" unbalanced="0"/>
    <cacheHierarchy uniqueName="[Clean_QC_Audit].[Audit_Date]" caption="Audit_Date" attribute="1" time="1" defaultMemberUniqueName="[Clean_QC_Audit].[Audit_Date].[All]" allUniqueName="[Clean_QC_Audit].[Audit_Date].[All]" dimensionUniqueName="[Clean_QC_Audit]" displayFolder="" count="0" memberValueDatatype="7" unbalanced="0"/>
    <cacheHierarchy uniqueName="[Clean_QC_Audit].[Employee_ID]" caption="Employee_ID" attribute="1" defaultMemberUniqueName="[Clean_QC_Audit].[Employee_ID].[All]" allUniqueName="[Clean_QC_Audit].[Employee_ID].[All]" dimensionUniqueName="[Clean_QC_Audit]" displayFolder="" count="0" memberValueDatatype="130" unbalanced="0"/>
    <cacheHierarchy uniqueName="[Clean_QC_Audit].[Cases_Audited]" caption="Cases_Audited" attribute="1" defaultMemberUniqueName="[Clean_QC_Audit].[Cases_Audited].[All]" allUniqueName="[Clean_QC_Audit].[Cases_Audited].[All]" dimensionUniqueName="[Clean_QC_Audit]" displayFolder="" count="0" memberValueDatatype="20" unbalanced="0"/>
    <cacheHierarchy uniqueName="[Clean_QC_Audit].[Audit_Score]" caption="Audit_Score" attribute="1" defaultMemberUniqueName="[Clean_QC_Audit].[Audit_Score].[All]" allUniqueName="[Clean_QC_Audit].[Audit_Score].[All]" dimensionUniqueName="[Clean_QC_Audit]" displayFolder="" count="0" memberValueDatatype="20" unbalanced="0"/>
    <cacheHierarchy uniqueName="[Clean_QC_Audit].[Critical_Errors]" caption="Critical_Errors" attribute="1" defaultMemberUniqueName="[Clean_QC_Audit].[Critical_Errors].[All]" allUniqueName="[Clean_QC_Audit].[Critical_Errors].[All]" dimensionUniqueName="[Clean_QC_Audit]" displayFolder="" count="0" memberValueDatatype="20" unbalanced="0"/>
    <cacheHierarchy uniqueName="[Clean_QC_Audit].[Major_Errors]" caption="Major_Errors" attribute="1" defaultMemberUniqueName="[Clean_QC_Audit].[Major_Errors].[All]" allUniqueName="[Clean_QC_Audit].[Major_Errors].[All]" dimensionUniqueName="[Clean_QC_Audit]" displayFolder="" count="0" memberValueDatatype="20" unbalanced="0"/>
    <cacheHierarchy uniqueName="[Clean_QC_Audit].[Minor_Errors]" caption="Minor_Errors" attribute="1" defaultMemberUniqueName="[Clean_QC_Audit].[Minor_Errors].[All]" allUniqueName="[Clean_QC_Audit].[Minor_Errors].[All]" dimensionUniqueName="[Clean_QC_Audit]" displayFolder="" count="0" memberValueDatatype="20" unbalanced="0"/>
    <cacheHierarchy uniqueName="[Clean_QC_Audit].[Auditor]" caption="Auditor" attribute="1" defaultMemberUniqueName="[Clean_QC_Audit].[Auditor].[All]" allUniqueName="[Clean_QC_Audit].[Auditor].[All]" dimensionUniqueName="[Clean_QC_Audit]" displayFolder="" count="0" memberValueDatatype="130" unbalanced="0"/>
    <cacheHierarchy uniqueName="[Clean_QC_Audit].[Month Name]" caption="Month Name" attribute="1" defaultMemberUniqueName="[Clean_QC_Audit].[Month Name].[All]" allUniqueName="[Clean_QC_Audit].[Month Name].[All]" dimensionUniqueName="[Clean_QC_Audit]" displayFolder="" count="2" memberValueDatatype="130" unbalanced="0">
      <fieldsUsage count="2">
        <fieldUsage x="-1"/>
        <fieldUsage x="2"/>
      </fieldsUsage>
    </cacheHierarchy>
    <cacheHierarchy uniqueName="[Clean_QC_Audit].[Total Errors]" caption="Total Errors" attribute="1" defaultMemberUniqueName="[Clean_QC_Audit].[Total Errors].[All]" allUniqueName="[Clean_QC_Audit].[Total Errors].[All]" dimensionUniqueName="[Clean_QC_Audit]" displayFolder="" count="0" memberValueDatatype="20" unbalanced="0"/>
    <cacheHierarchy uniqueName="[Clean_QC_Audit].[Audit Result]" caption="Audit Result" attribute="1" defaultMemberUniqueName="[Clean_QC_Audit].[Audit Result].[All]" allUniqueName="[Clean_QC_Audit].[Audit Result].[All]" dimensionUniqueName="[Clean_QC_Audit]" displayFolder="" count="2" memberValueDatatype="130" unbalanced="0">
      <fieldsUsage count="2">
        <fieldUsage x="-1"/>
        <fieldUsage x="1"/>
      </fieldsUsage>
    </cacheHierarchy>
    <cacheHierarchy uniqueName="[Clean_QC_Audit].[Audit_Date (Month)]" caption="Audit_Date (Month)" attribute="1" defaultMemberUniqueName="[Clean_QC_Audit].[Audit_Date (Month)].[All]" allUniqueName="[Clean_QC_Audit].[Audit_Date (Month)].[All]" dimensionUniqueName="[Clean_QC_Audit]" displayFolder="" count="0" memberValueDatatype="130" unbalanced="0"/>
    <cacheHierarchy uniqueName="[Employee_Master].[Employee_ID]" caption="Employee_ID" attribute="1" defaultMemberUniqueName="[Employee_Master].[Employee_ID].[All]" allUniqueName="[Employee_Master].[Employee_ID].[All]" dimensionUniqueName="[Employee_Master]" displayFolder="" count="0" memberValueDatatype="130" unbalanced="0"/>
    <cacheHierarchy uniqueName="[Employee_Master].[Employee_Name]" caption="Employee_Name" attribute="1" defaultMemberUniqueName="[Employee_Master].[Employee_Name].[All]" allUniqueName="[Employee_Master].[Employee_Name].[All]" dimensionUniqueName="[Employee_Master]" displayFolder="" count="0" memberValueDatatype="130" unbalanced="0"/>
    <cacheHierarchy uniqueName="[Employee_Master].[Email]" caption="Email" attribute="1" defaultMemberUniqueName="[Employee_Master].[Email].[All]" allUniqueName="[Employee_Master].[Email].[All]" dimensionUniqueName="[Employee_Master]" displayFolder="" count="0" memberValueDatatype="130" unbalanced="0"/>
    <cacheHierarchy uniqueName="[Employee_Master].[Department]" caption="Department" attribute="1" defaultMemberUniqueName="[Employee_Master].[Department].[All]" allUniqueName="[Employee_Master].[Department].[All]" dimensionUniqueName="[Employee_Master]" displayFolder="" count="0" memberValueDatatype="130" unbalanced="0"/>
    <cacheHierarchy uniqueName="[Employee_Master].[Process]" caption="Process" attribute="1" defaultMemberUniqueName="[Employee_Master].[Process].[All]" allUniqueName="[Employee_Master].[Process].[All]" dimensionUniqueName="[Employee_Master]" displayFolder="" count="2" memberValueDatatype="130" unbalanced="0"/>
    <cacheHierarchy uniqueName="[Employee_Master].[Team]" caption="Team" attribute="1" defaultMemberUniqueName="[Employee_Master].[Team].[All]" allUniqueName="[Employee_Master].[Team].[All]" dimensionUniqueName="[Employee_Master]" displayFolder="" count="0" memberValueDatatype="130" unbalanced="0"/>
    <cacheHierarchy uniqueName="[Employee_Master].[Designation]" caption="Designation" attribute="1" defaultMemberUniqueName="[Employee_Master].[Designation].[All]" allUniqueName="[Employee_Master].[Designation].[All]" dimensionUniqueName="[Employee_Master]" displayFolder="" count="0" memberValueDatatype="130" unbalanced="0"/>
    <cacheHierarchy uniqueName="[Employee_Master].[Manager_ID]" caption="Manager_ID" attribute="1" defaultMemberUniqueName="[Employee_Master].[Manager_ID].[All]" allUniqueName="[Employee_Master].[Manager_ID].[All]" dimensionUniqueName="[Employee_Master]" displayFolder="" count="0" memberValueDatatype="130" unbalanced="0"/>
    <cacheHierarchy uniqueName="[Employee_Master].[Manager_Name]" caption="Manager_Name" attribute="1" defaultMemberUniqueName="[Employee_Master].[Manager_Name].[All]" allUniqueName="[Employee_Master].[Manager_Name].[All]" dimensionUniqueName="[Employee_Master]" displayFolder="" count="0" memberValueDatatype="130" unbalanced="0"/>
    <cacheHierarchy uniqueName="[Employee_Master].[DOJ]" caption="DOJ" attribute="1" time="1" defaultMemberUniqueName="[Employee_Master].[DOJ].[All]" allUniqueName="[Employee_Master].[DOJ].[All]" dimensionUniqueName="[Employee_Master]" displayFolder="" count="0" memberValueDatatype="7" unbalanced="0"/>
    <cacheHierarchy uniqueName="[Employee_Master].[Location]" caption="Location" attribute="1" defaultMemberUniqueName="[Employee_Master].[Location].[All]" allUniqueName="[Employee_Master].[Location].[All]" dimensionUniqueName="[Employee_Master]" displayFolder="" count="0" memberValueDatatype="130" unbalanced="0"/>
    <cacheHierarchy uniqueName="[Employee_Master].[Shift]" caption="Shift" attribute="1" defaultMemberUniqueName="[Employee_Master].[Shift].[All]" allUniqueName="[Employee_Master].[Shift].[All]" dimensionUniqueName="[Employee_Master]" displayFolder="" count="0" memberValueDatatype="130" unbalanced="0"/>
    <cacheHierarchy uniqueName="[Employee_Master].[Status]" caption="Status" attribute="1" defaultMemberUniqueName="[Employee_Master].[Status].[All]" allUniqueName="[Employee_Master].[Status].[All]" dimensionUniqueName="[Employee_Master]" displayFolder="" count="0" memberValueDatatype="130" unbalanced="0"/>
    <cacheHierarchy uniqueName="[Employee_Master].[Employee_Name - Copy]" caption="Employee_Name - Copy" attribute="1" defaultMemberUniqueName="[Employee_Master].[Employee_Name - Copy].[All]" allUniqueName="[Employee_Master].[Employee_Name - Copy].[All]" dimensionUniqueName="[Employee_Master]" displayFolder="" count="0" memberValueDatatype="130" unbalanced="0"/>
    <cacheHierarchy uniqueName="[Clean_QC_Audit].[Audit_Date (Month Index)]" caption="Audit_Date (Month Index)" attribute="1" defaultMemberUniqueName="[Clean_QC_Audit].[Audit_Date (Month Index)].[All]" allUniqueName="[Clean_QC_Audit].[Audit_Date (Month Index)].[All]" dimensionUniqueName="[Clean_QC_Audit]" displayFolder="" count="0" memberValueDatatype="20" unbalanced="0" hidden="1"/>
    <cacheHierarchy uniqueName="[Measures].[__XL_Count Clean_QC_Audit]" caption="__XL_Count Clean_QC_Audit" measure="1" displayFolder="" measureGroup="Clean_QC_Audit" count="0" hidden="1"/>
    <cacheHierarchy uniqueName="[Measures].[__XL_Count Attendance1]" caption="__XL_Count Attendance1" measure="1" displayFolder="" measureGroup="Attendance1" count="0" hidden="1"/>
    <cacheHierarchy uniqueName="[Measures].[__XL_Count Employee_Master]" caption="__XL_Count Employee_Master" measure="1" displayFolder="" measureGroup="Employee_Master" count="0" hidden="1"/>
    <cacheHierarchy uniqueName="[Measures].[__No measures defined]" caption="__No measures defined" measure="1" displayFolder="" count="0" hidden="1"/>
    <cacheHierarchy uniqueName="[Measures].[Sum of Cases_Audited]" caption="Sum of Cases_Audited" measure="1" displayFolder="" measureGroup="Clean_QC_Audit" count="0" hidden="1">
      <extLst>
        <ext xmlns:x15="http://schemas.microsoft.com/office/spreadsheetml/2010/11/main" uri="{B97F6D7D-B522-45F9-BDA1-12C45D357490}">
          <x15:cacheHierarchy aggregatedColumn="10"/>
        </ext>
      </extLst>
    </cacheHierarchy>
    <cacheHierarchy uniqueName="[Measures].[Count of Audit_ID]" caption="Count of Audit_ID" measure="1" displayFolder="" measureGroup="Clean_QC_Audit" count="0" hidden="1">
      <extLst>
        <ext xmlns:x15="http://schemas.microsoft.com/office/spreadsheetml/2010/11/main" uri="{B97F6D7D-B522-45F9-BDA1-12C45D357490}">
          <x15:cacheHierarchy aggregatedColumn="7"/>
        </ext>
      </extLst>
    </cacheHierarchy>
    <cacheHierarchy uniqueName="[Measures].[Sum of Audit_Score]" caption="Sum of Audit_Score" measure="1" displayFolder="" measureGroup="Clean_QC_Audit" count="0" hidden="1">
      <extLst>
        <ext xmlns:x15="http://schemas.microsoft.com/office/spreadsheetml/2010/11/main" uri="{B97F6D7D-B522-45F9-BDA1-12C45D357490}">
          <x15:cacheHierarchy aggregatedColumn="11"/>
        </ext>
      </extLst>
    </cacheHierarchy>
    <cacheHierarchy uniqueName="[Measures].[Average of Audit_Score]" caption="Average of Audit_Score" measure="1" displayFolder="" measureGroup="Clean_QC_Audit" count="0" hidden="1">
      <extLst>
        <ext xmlns:x15="http://schemas.microsoft.com/office/spreadsheetml/2010/11/main" uri="{B97F6D7D-B522-45F9-BDA1-12C45D357490}">
          <x15:cacheHierarchy aggregatedColumn="11"/>
        </ext>
      </extLst>
    </cacheHierarchy>
    <cacheHierarchy uniqueName="[Measures].[Max of Audit_Score]" caption="Max of Audit_Score" measure="1" displayFolder="" measureGroup="Clean_QC_Audit" count="0" hidden="1">
      <extLst>
        <ext xmlns:x15="http://schemas.microsoft.com/office/spreadsheetml/2010/11/main" uri="{B97F6D7D-B522-45F9-BDA1-12C45D357490}">
          <x15:cacheHierarchy aggregatedColumn="11"/>
        </ext>
      </extLst>
    </cacheHierarchy>
    <cacheHierarchy uniqueName="[Measures].[Min of Audit_Score]" caption="Min of Audit_Score" measure="1" displayFolder="" measureGroup="Clean_QC_Audit" count="0" hidden="1">
      <extLst>
        <ext xmlns:x15="http://schemas.microsoft.com/office/spreadsheetml/2010/11/main" uri="{B97F6D7D-B522-45F9-BDA1-12C45D357490}">
          <x15:cacheHierarchy aggregatedColumn="11"/>
        </ext>
      </extLst>
    </cacheHierarchy>
    <cacheHierarchy uniqueName="[Measures].[Count of Audit Result]" caption="Count of Audit Result" measure="1" displayFolder="" measureGroup="Clean_QC_Audit"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Critical_Errors]" caption="Sum of Critical_Errors" measure="1" displayFolder="" measureGroup="Clean_QC_Audit" count="0" hidden="1">
      <extLst>
        <ext xmlns:x15="http://schemas.microsoft.com/office/spreadsheetml/2010/11/main" uri="{B97F6D7D-B522-45F9-BDA1-12C45D357490}">
          <x15:cacheHierarchy aggregatedColumn="12"/>
        </ext>
      </extLst>
    </cacheHierarchy>
    <cacheHierarchy uniqueName="[Measures].[Sum of Major_Errors]" caption="Sum of Major_Errors" measure="1" displayFolder="" measureGroup="Clean_QC_Audit" count="0" hidden="1">
      <extLst>
        <ext xmlns:x15="http://schemas.microsoft.com/office/spreadsheetml/2010/11/main" uri="{B97F6D7D-B522-45F9-BDA1-12C45D357490}">
          <x15:cacheHierarchy aggregatedColumn="13"/>
        </ext>
      </extLst>
    </cacheHierarchy>
    <cacheHierarchy uniqueName="[Measures].[Sum of Minor_Errors]" caption="Sum of Minor_Errors" measure="1" displayFolder="" measureGroup="Clean_QC_Audit" count="0" hidden="1">
      <extLst>
        <ext xmlns:x15="http://schemas.microsoft.com/office/spreadsheetml/2010/11/main" uri="{B97F6D7D-B522-45F9-BDA1-12C45D357490}">
          <x15:cacheHierarchy aggregatedColumn="14"/>
        </ext>
      </extLst>
    </cacheHierarchy>
    <cacheHierarchy uniqueName="[Measures].[Count of Total Errors]" caption="Count of Total Errors" measure="1" displayFolder="" measureGroup="Clean_QC_Audit" count="0" hidden="1">
      <extLst>
        <ext xmlns:x15="http://schemas.microsoft.com/office/spreadsheetml/2010/11/main" uri="{B97F6D7D-B522-45F9-BDA1-12C45D357490}">
          <x15:cacheHierarchy aggregatedColumn="17"/>
        </ext>
      </extLst>
    </cacheHierarchy>
    <cacheHierarchy uniqueName="[Measures].[Sum of Total Errors]" caption="Sum of Total Errors" measure="1" displayFolder="" measureGroup="Clean_QC_Audit" count="0" hidden="1">
      <extLst>
        <ext xmlns:x15="http://schemas.microsoft.com/office/spreadsheetml/2010/11/main" uri="{B97F6D7D-B522-45F9-BDA1-12C45D357490}">
          <x15:cacheHierarchy aggregatedColumn="17"/>
        </ext>
      </extLst>
    </cacheHierarchy>
    <cacheHierarchy uniqueName="[Measures].[Average of Total Errors]" caption="Average of Total Errors" measure="1" displayFolder="" measureGroup="Clean_QC_Audit" count="0" hidden="1">
      <extLst>
        <ext xmlns:x15="http://schemas.microsoft.com/office/spreadsheetml/2010/11/main" uri="{B97F6D7D-B522-45F9-BDA1-12C45D357490}">
          <x15:cacheHierarchy aggregatedColumn="17"/>
        </ext>
      </extLst>
    </cacheHierarchy>
  </cacheHierarchies>
  <kpis count="0"/>
  <dimensions count="4">
    <dimension name="Attendance1" uniqueName="[Attendance1]" caption="Attendance1"/>
    <dimension name="Clean_QC_Audit" uniqueName="[Clean_QC_Audit]" caption="Clean_QC_Audit"/>
    <dimension name="Employee_Master" uniqueName="[Employee_Master]" caption="Employee_Master"/>
    <dimension measure="1" name="Measures" uniqueName="[Measures]" caption="Measures"/>
  </dimensions>
  <measureGroups count="3">
    <measureGroup name="Attendance1" caption="Attendance1"/>
    <measureGroup name="Clean_QC_Audit" caption="Clean_QC_Audit"/>
    <measureGroup name="Employee_Master" caption="Employee_Master"/>
  </measureGroups>
  <maps count="4">
    <map measureGroup="0"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oth G R" refreshedDate="46274.221939467592" createdVersion="5" refreshedVersion="8" minRefreshableVersion="3" recordCount="0" supportSubquery="1" supportAdvancedDrill="1" xr:uid="{64755311-1CA9-41FA-9A38-701B4FF835FD}">
  <cacheSource type="external" connectionId="9"/>
  <cacheFields count="5">
    <cacheField name="[Clean_QC_Audit].[Audit Result].[Audit Result]" caption="Audit Result" numFmtId="0" hierarchy="18" level="1">
      <sharedItems count="2">
        <s v="Fail"/>
        <s v="Pass"/>
      </sharedItems>
    </cacheField>
    <cacheField name="[Measures].[Sum of Critical_Errors]" caption="Sum of Critical_Errors" numFmtId="0" hierarchy="46" level="32767"/>
    <cacheField name="[Measures].[Sum of Major_Errors]" caption="Sum of Major_Errors" numFmtId="0" hierarchy="47" level="32767"/>
    <cacheField name="[Measures].[Sum of Minor_Errors]" caption="Sum of Minor_Errors" numFmtId="0" hierarchy="48" level="32767"/>
    <cacheField name="[Clean_QC_Audit].[Month Name].[Month Name]" caption="Month Name" numFmtId="0" hierarchy="16" level="1">
      <sharedItems containsSemiMixedTypes="0" containsNonDate="0" containsString="0"/>
    </cacheField>
  </cacheFields>
  <cacheHierarchies count="52">
    <cacheHierarchy uniqueName="[Attendance1].[Attendance_ID]" caption="Attendance_ID" attribute="1" defaultMemberUniqueName="[Attendance1].[Attendance_ID].[All]" allUniqueName="[Attendance1].[Attendance_ID].[All]" dimensionUniqueName="[Attendance1]" displayFolder="" count="0" memberValueDatatype="130" unbalanced="0"/>
    <cacheHierarchy uniqueName="[Attendance1].[Date]" caption="Date" attribute="1" time="1" defaultMemberUniqueName="[Attendance1].[Date].[All]" allUniqueName="[Attendance1].[Date].[All]" dimensionUniqueName="[Attendance1]" displayFolder="" count="0" memberValueDatatype="7" unbalanced="0"/>
    <cacheHierarchy uniqueName="[Attendance1].[Employee_ID]" caption="Employee_ID" attribute="1" defaultMemberUniqueName="[Attendance1].[Employee_ID].[All]" allUniqueName="[Attendance1].[Employee_ID].[All]" dimensionUniqueName="[Attendance1]" displayFolder="" count="0" memberValueDatatype="130" unbalanced="0"/>
    <cacheHierarchy uniqueName="[Attendance1].[Attendance_Status]" caption="Attendance_Status" attribute="1" defaultMemberUniqueName="[Attendance1].[Attendance_Status].[All]" allUniqueName="[Attendance1].[Attendance_Status].[All]" dimensionUniqueName="[Attendance1]" displayFolder="" count="0" memberValueDatatype="130" unbalanced="0"/>
    <cacheHierarchy uniqueName="[Attendance1].[Login_Time]" caption="Login_Time" attribute="1" time="1" defaultMemberUniqueName="[Attendance1].[Login_Time].[All]" allUniqueName="[Attendance1].[Login_Time].[All]" dimensionUniqueName="[Attendance1]" displayFolder="" count="0" memberValueDatatype="7" unbalanced="0"/>
    <cacheHierarchy uniqueName="[Attendance1].[Logout_Time]" caption="Logout_Time" attribute="1" time="1" defaultMemberUniqueName="[Attendance1].[Logout_Time].[All]" allUniqueName="[Attendance1].[Logout_Time].[All]" dimensionUniqueName="[Attendance1]" displayFolder="" count="0" memberValueDatatype="7" unbalanced="0"/>
    <cacheHierarchy uniqueName="[Attendance1].[Late_Login]" caption="Late_Login" attribute="1" defaultMemberUniqueName="[Attendance1].[Late_Login].[All]" allUniqueName="[Attendance1].[Late_Login].[All]" dimensionUniqueName="[Attendance1]" displayFolder="" count="0" memberValueDatatype="130" unbalanced="0"/>
    <cacheHierarchy uniqueName="[Clean_QC_Audit].[Audit_ID]" caption="Audit_ID" attribute="1" defaultMemberUniqueName="[Clean_QC_Audit].[Audit_ID].[All]" allUniqueName="[Clean_QC_Audit].[Audit_ID].[All]" dimensionUniqueName="[Clean_QC_Audit]" displayFolder="" count="0" memberValueDatatype="130" unbalanced="0"/>
    <cacheHierarchy uniqueName="[Clean_QC_Audit].[Audit_Date]" caption="Audit_Date" attribute="1" time="1" defaultMemberUniqueName="[Clean_QC_Audit].[Audit_Date].[All]" allUniqueName="[Clean_QC_Audit].[Audit_Date].[All]" dimensionUniqueName="[Clean_QC_Audit]" displayFolder="" count="0" memberValueDatatype="7" unbalanced="0"/>
    <cacheHierarchy uniqueName="[Clean_QC_Audit].[Employee_ID]" caption="Employee_ID" attribute="1" defaultMemberUniqueName="[Clean_QC_Audit].[Employee_ID].[All]" allUniqueName="[Clean_QC_Audit].[Employee_ID].[All]" dimensionUniqueName="[Clean_QC_Audit]" displayFolder="" count="0" memberValueDatatype="130" unbalanced="0"/>
    <cacheHierarchy uniqueName="[Clean_QC_Audit].[Cases_Audited]" caption="Cases_Audited" attribute="1" defaultMemberUniqueName="[Clean_QC_Audit].[Cases_Audited].[All]" allUniqueName="[Clean_QC_Audit].[Cases_Audited].[All]" dimensionUniqueName="[Clean_QC_Audit]" displayFolder="" count="0" memberValueDatatype="20" unbalanced="0"/>
    <cacheHierarchy uniqueName="[Clean_QC_Audit].[Audit_Score]" caption="Audit_Score" attribute="1" defaultMemberUniqueName="[Clean_QC_Audit].[Audit_Score].[All]" allUniqueName="[Clean_QC_Audit].[Audit_Score].[All]" dimensionUniqueName="[Clean_QC_Audit]" displayFolder="" count="0" memberValueDatatype="20" unbalanced="0"/>
    <cacheHierarchy uniqueName="[Clean_QC_Audit].[Critical_Errors]" caption="Critical_Errors" attribute="1" defaultMemberUniqueName="[Clean_QC_Audit].[Critical_Errors].[All]" allUniqueName="[Clean_QC_Audit].[Critical_Errors].[All]" dimensionUniqueName="[Clean_QC_Audit]" displayFolder="" count="0" memberValueDatatype="20" unbalanced="0"/>
    <cacheHierarchy uniqueName="[Clean_QC_Audit].[Major_Errors]" caption="Major_Errors" attribute="1" defaultMemberUniqueName="[Clean_QC_Audit].[Major_Errors].[All]" allUniqueName="[Clean_QC_Audit].[Major_Errors].[All]" dimensionUniqueName="[Clean_QC_Audit]" displayFolder="" count="0" memberValueDatatype="20" unbalanced="0"/>
    <cacheHierarchy uniqueName="[Clean_QC_Audit].[Minor_Errors]" caption="Minor_Errors" attribute="1" defaultMemberUniqueName="[Clean_QC_Audit].[Minor_Errors].[All]" allUniqueName="[Clean_QC_Audit].[Minor_Errors].[All]" dimensionUniqueName="[Clean_QC_Audit]" displayFolder="" count="0" memberValueDatatype="20" unbalanced="0"/>
    <cacheHierarchy uniqueName="[Clean_QC_Audit].[Auditor]" caption="Auditor" attribute="1" defaultMemberUniqueName="[Clean_QC_Audit].[Auditor].[All]" allUniqueName="[Clean_QC_Audit].[Auditor].[All]" dimensionUniqueName="[Clean_QC_Audit]" displayFolder="" count="0" memberValueDatatype="130" unbalanced="0"/>
    <cacheHierarchy uniqueName="[Clean_QC_Audit].[Month Name]" caption="Month Name" attribute="1" defaultMemberUniqueName="[Clean_QC_Audit].[Month Name].[All]" allUniqueName="[Clean_QC_Audit].[Month Name].[All]" dimensionUniqueName="[Clean_QC_Audit]" displayFolder="" count="2" memberValueDatatype="130" unbalanced="0">
      <fieldsUsage count="2">
        <fieldUsage x="-1"/>
        <fieldUsage x="4"/>
      </fieldsUsage>
    </cacheHierarchy>
    <cacheHierarchy uniqueName="[Clean_QC_Audit].[Total Errors]" caption="Total Errors" attribute="1" defaultMemberUniqueName="[Clean_QC_Audit].[Total Errors].[All]" allUniqueName="[Clean_QC_Audit].[Total Errors].[All]" dimensionUniqueName="[Clean_QC_Audit]" displayFolder="" count="0" memberValueDatatype="20" unbalanced="0"/>
    <cacheHierarchy uniqueName="[Clean_QC_Audit].[Audit Result]" caption="Audit Result" attribute="1" defaultMemberUniqueName="[Clean_QC_Audit].[Audit Result].[All]" allUniqueName="[Clean_QC_Audit].[Audit Result].[All]" dimensionUniqueName="[Clean_QC_Audit]" displayFolder="" count="2" memberValueDatatype="130" unbalanced="0">
      <fieldsUsage count="2">
        <fieldUsage x="-1"/>
        <fieldUsage x="0"/>
      </fieldsUsage>
    </cacheHierarchy>
    <cacheHierarchy uniqueName="[Clean_QC_Audit].[Audit_Date (Month)]" caption="Audit_Date (Month)" attribute="1" defaultMemberUniqueName="[Clean_QC_Audit].[Audit_Date (Month)].[All]" allUniqueName="[Clean_QC_Audit].[Audit_Date (Month)].[All]" dimensionUniqueName="[Clean_QC_Audit]" displayFolder="" count="0" memberValueDatatype="130" unbalanced="0"/>
    <cacheHierarchy uniqueName="[Employee_Master].[Employee_ID]" caption="Employee_ID" attribute="1" defaultMemberUniqueName="[Employee_Master].[Employee_ID].[All]" allUniqueName="[Employee_Master].[Employee_ID].[All]" dimensionUniqueName="[Employee_Master]" displayFolder="" count="0" memberValueDatatype="130" unbalanced="0"/>
    <cacheHierarchy uniqueName="[Employee_Master].[Employee_Name]" caption="Employee_Name" attribute="1" defaultMemberUniqueName="[Employee_Master].[Employee_Name].[All]" allUniqueName="[Employee_Master].[Employee_Name].[All]" dimensionUniqueName="[Employee_Master]" displayFolder="" count="0" memberValueDatatype="130" unbalanced="0"/>
    <cacheHierarchy uniqueName="[Employee_Master].[Email]" caption="Email" attribute="1" defaultMemberUniqueName="[Employee_Master].[Email].[All]" allUniqueName="[Employee_Master].[Email].[All]" dimensionUniqueName="[Employee_Master]" displayFolder="" count="0" memberValueDatatype="130" unbalanced="0"/>
    <cacheHierarchy uniqueName="[Employee_Master].[Department]" caption="Department" attribute="1" defaultMemberUniqueName="[Employee_Master].[Department].[All]" allUniqueName="[Employee_Master].[Department].[All]" dimensionUniqueName="[Employee_Master]" displayFolder="" count="0" memberValueDatatype="130" unbalanced="0"/>
    <cacheHierarchy uniqueName="[Employee_Master].[Process]" caption="Process" attribute="1" defaultMemberUniqueName="[Employee_Master].[Process].[All]" allUniqueName="[Employee_Master].[Process].[All]" dimensionUniqueName="[Employee_Master]" displayFolder="" count="2" memberValueDatatype="130" unbalanced="0"/>
    <cacheHierarchy uniqueName="[Employee_Master].[Team]" caption="Team" attribute="1" defaultMemberUniqueName="[Employee_Master].[Team].[All]" allUniqueName="[Employee_Master].[Team].[All]" dimensionUniqueName="[Employee_Master]" displayFolder="" count="0" memberValueDatatype="130" unbalanced="0"/>
    <cacheHierarchy uniqueName="[Employee_Master].[Designation]" caption="Designation" attribute="1" defaultMemberUniqueName="[Employee_Master].[Designation].[All]" allUniqueName="[Employee_Master].[Designation].[All]" dimensionUniqueName="[Employee_Master]" displayFolder="" count="0" memberValueDatatype="130" unbalanced="0"/>
    <cacheHierarchy uniqueName="[Employee_Master].[Manager_ID]" caption="Manager_ID" attribute="1" defaultMemberUniqueName="[Employee_Master].[Manager_ID].[All]" allUniqueName="[Employee_Master].[Manager_ID].[All]" dimensionUniqueName="[Employee_Master]" displayFolder="" count="0" memberValueDatatype="130" unbalanced="0"/>
    <cacheHierarchy uniqueName="[Employee_Master].[Manager_Name]" caption="Manager_Name" attribute="1" defaultMemberUniqueName="[Employee_Master].[Manager_Name].[All]" allUniqueName="[Employee_Master].[Manager_Name].[All]" dimensionUniqueName="[Employee_Master]" displayFolder="" count="0" memberValueDatatype="130" unbalanced="0"/>
    <cacheHierarchy uniqueName="[Employee_Master].[DOJ]" caption="DOJ" attribute="1" time="1" defaultMemberUniqueName="[Employee_Master].[DOJ].[All]" allUniqueName="[Employee_Master].[DOJ].[All]" dimensionUniqueName="[Employee_Master]" displayFolder="" count="0" memberValueDatatype="7" unbalanced="0"/>
    <cacheHierarchy uniqueName="[Employee_Master].[Location]" caption="Location" attribute="1" defaultMemberUniqueName="[Employee_Master].[Location].[All]" allUniqueName="[Employee_Master].[Location].[All]" dimensionUniqueName="[Employee_Master]" displayFolder="" count="0" memberValueDatatype="130" unbalanced="0"/>
    <cacheHierarchy uniqueName="[Employee_Master].[Shift]" caption="Shift" attribute="1" defaultMemberUniqueName="[Employee_Master].[Shift].[All]" allUniqueName="[Employee_Master].[Shift].[All]" dimensionUniqueName="[Employee_Master]" displayFolder="" count="0" memberValueDatatype="130" unbalanced="0"/>
    <cacheHierarchy uniqueName="[Employee_Master].[Status]" caption="Status" attribute="1" defaultMemberUniqueName="[Employee_Master].[Status].[All]" allUniqueName="[Employee_Master].[Status].[All]" dimensionUniqueName="[Employee_Master]" displayFolder="" count="0" memberValueDatatype="130" unbalanced="0"/>
    <cacheHierarchy uniqueName="[Employee_Master].[Employee_Name - Copy]" caption="Employee_Name - Copy" attribute="1" defaultMemberUniqueName="[Employee_Master].[Employee_Name - Copy].[All]" allUniqueName="[Employee_Master].[Employee_Name - Copy].[All]" dimensionUniqueName="[Employee_Master]" displayFolder="" count="0" memberValueDatatype="130" unbalanced="0"/>
    <cacheHierarchy uniqueName="[Clean_QC_Audit].[Audit_Date (Month Index)]" caption="Audit_Date (Month Index)" attribute="1" defaultMemberUniqueName="[Clean_QC_Audit].[Audit_Date (Month Index)].[All]" allUniqueName="[Clean_QC_Audit].[Audit_Date (Month Index)].[All]" dimensionUniqueName="[Clean_QC_Audit]" displayFolder="" count="0" memberValueDatatype="20" unbalanced="0" hidden="1"/>
    <cacheHierarchy uniqueName="[Measures].[__XL_Count Clean_QC_Audit]" caption="__XL_Count Clean_QC_Audit" measure="1" displayFolder="" measureGroup="Clean_QC_Audit" count="0" hidden="1"/>
    <cacheHierarchy uniqueName="[Measures].[__XL_Count Attendance1]" caption="__XL_Count Attendance1" measure="1" displayFolder="" measureGroup="Attendance1" count="0" hidden="1"/>
    <cacheHierarchy uniqueName="[Measures].[__XL_Count Employee_Master]" caption="__XL_Count Employee_Master" measure="1" displayFolder="" measureGroup="Employee_Master" count="0" hidden="1"/>
    <cacheHierarchy uniqueName="[Measures].[__No measures defined]" caption="__No measures defined" measure="1" displayFolder="" count="0" hidden="1"/>
    <cacheHierarchy uniqueName="[Measures].[Sum of Cases_Audited]" caption="Sum of Cases_Audited" measure="1" displayFolder="" measureGroup="Clean_QC_Audit" count="0" hidden="1">
      <extLst>
        <ext xmlns:x15="http://schemas.microsoft.com/office/spreadsheetml/2010/11/main" uri="{B97F6D7D-B522-45F9-BDA1-12C45D357490}">
          <x15:cacheHierarchy aggregatedColumn="10"/>
        </ext>
      </extLst>
    </cacheHierarchy>
    <cacheHierarchy uniqueName="[Measures].[Count of Audit_ID]" caption="Count of Audit_ID" measure="1" displayFolder="" measureGroup="Clean_QC_Audit" count="0" hidden="1">
      <extLst>
        <ext xmlns:x15="http://schemas.microsoft.com/office/spreadsheetml/2010/11/main" uri="{B97F6D7D-B522-45F9-BDA1-12C45D357490}">
          <x15:cacheHierarchy aggregatedColumn="7"/>
        </ext>
      </extLst>
    </cacheHierarchy>
    <cacheHierarchy uniqueName="[Measures].[Sum of Audit_Score]" caption="Sum of Audit_Score" measure="1" displayFolder="" measureGroup="Clean_QC_Audit" count="0" hidden="1">
      <extLst>
        <ext xmlns:x15="http://schemas.microsoft.com/office/spreadsheetml/2010/11/main" uri="{B97F6D7D-B522-45F9-BDA1-12C45D357490}">
          <x15:cacheHierarchy aggregatedColumn="11"/>
        </ext>
      </extLst>
    </cacheHierarchy>
    <cacheHierarchy uniqueName="[Measures].[Average of Audit_Score]" caption="Average of Audit_Score" measure="1" displayFolder="" measureGroup="Clean_QC_Audit" count="0" hidden="1">
      <extLst>
        <ext xmlns:x15="http://schemas.microsoft.com/office/spreadsheetml/2010/11/main" uri="{B97F6D7D-B522-45F9-BDA1-12C45D357490}">
          <x15:cacheHierarchy aggregatedColumn="11"/>
        </ext>
      </extLst>
    </cacheHierarchy>
    <cacheHierarchy uniqueName="[Measures].[Max of Audit_Score]" caption="Max of Audit_Score" measure="1" displayFolder="" measureGroup="Clean_QC_Audit" count="0" hidden="1">
      <extLst>
        <ext xmlns:x15="http://schemas.microsoft.com/office/spreadsheetml/2010/11/main" uri="{B97F6D7D-B522-45F9-BDA1-12C45D357490}">
          <x15:cacheHierarchy aggregatedColumn="11"/>
        </ext>
      </extLst>
    </cacheHierarchy>
    <cacheHierarchy uniqueName="[Measures].[Min of Audit_Score]" caption="Min of Audit_Score" measure="1" displayFolder="" measureGroup="Clean_QC_Audit" count="0" hidden="1">
      <extLst>
        <ext xmlns:x15="http://schemas.microsoft.com/office/spreadsheetml/2010/11/main" uri="{B97F6D7D-B522-45F9-BDA1-12C45D357490}">
          <x15:cacheHierarchy aggregatedColumn="11"/>
        </ext>
      </extLst>
    </cacheHierarchy>
    <cacheHierarchy uniqueName="[Measures].[Count of Audit Result]" caption="Count of Audit Result" measure="1" displayFolder="" measureGroup="Clean_QC_Audit" count="0" hidden="1">
      <extLst>
        <ext xmlns:x15="http://schemas.microsoft.com/office/spreadsheetml/2010/11/main" uri="{B97F6D7D-B522-45F9-BDA1-12C45D357490}">
          <x15:cacheHierarchy aggregatedColumn="18"/>
        </ext>
      </extLst>
    </cacheHierarchy>
    <cacheHierarchy uniqueName="[Measures].[Sum of Critical_Errors]" caption="Sum of Critical_Errors" measure="1" displayFolder="" measureGroup="Clean_QC_Audit"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Major_Errors]" caption="Sum of Major_Errors" measure="1" displayFolder="" measureGroup="Clean_QC_Audit"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Minor_Errors]" caption="Sum of Minor_Errors" measure="1" displayFolder="" measureGroup="Clean_QC_Audit" count="0" oneField="1" hidden="1">
      <fieldsUsage count="1">
        <fieldUsage x="3"/>
      </fieldsUsage>
      <extLst>
        <ext xmlns:x15="http://schemas.microsoft.com/office/spreadsheetml/2010/11/main" uri="{B97F6D7D-B522-45F9-BDA1-12C45D357490}">
          <x15:cacheHierarchy aggregatedColumn="14"/>
        </ext>
      </extLst>
    </cacheHierarchy>
    <cacheHierarchy uniqueName="[Measures].[Count of Total Errors]" caption="Count of Total Errors" measure="1" displayFolder="" measureGroup="Clean_QC_Audit" count="0" hidden="1">
      <extLst>
        <ext xmlns:x15="http://schemas.microsoft.com/office/spreadsheetml/2010/11/main" uri="{B97F6D7D-B522-45F9-BDA1-12C45D357490}">
          <x15:cacheHierarchy aggregatedColumn="17"/>
        </ext>
      </extLst>
    </cacheHierarchy>
    <cacheHierarchy uniqueName="[Measures].[Sum of Total Errors]" caption="Sum of Total Errors" measure="1" displayFolder="" measureGroup="Clean_QC_Audit" count="0" hidden="1">
      <extLst>
        <ext xmlns:x15="http://schemas.microsoft.com/office/spreadsheetml/2010/11/main" uri="{B97F6D7D-B522-45F9-BDA1-12C45D357490}">
          <x15:cacheHierarchy aggregatedColumn="17"/>
        </ext>
      </extLst>
    </cacheHierarchy>
    <cacheHierarchy uniqueName="[Measures].[Average of Total Errors]" caption="Average of Total Errors" measure="1" displayFolder="" measureGroup="Clean_QC_Audit" count="0" hidden="1">
      <extLst>
        <ext xmlns:x15="http://schemas.microsoft.com/office/spreadsheetml/2010/11/main" uri="{B97F6D7D-B522-45F9-BDA1-12C45D357490}">
          <x15:cacheHierarchy aggregatedColumn="17"/>
        </ext>
      </extLst>
    </cacheHierarchy>
  </cacheHierarchies>
  <kpis count="0"/>
  <dimensions count="4">
    <dimension name="Attendance1" uniqueName="[Attendance1]" caption="Attendance1"/>
    <dimension name="Clean_QC_Audit" uniqueName="[Clean_QC_Audit]" caption="Clean_QC_Audit"/>
    <dimension name="Employee_Master" uniqueName="[Employee_Master]" caption="Employee_Master"/>
    <dimension measure="1" name="Measures" uniqueName="[Measures]" caption="Measures"/>
  </dimensions>
  <measureGroups count="3">
    <measureGroup name="Attendance1" caption="Attendance1"/>
    <measureGroup name="Clean_QC_Audit" caption="Clean_QC_Audit"/>
    <measureGroup name="Employee_Master" caption="Employee_Master"/>
  </measureGroups>
  <maps count="4">
    <map measureGroup="0"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oth G R" refreshedDate="46274.221939814815" createdVersion="5" refreshedVersion="8" minRefreshableVersion="3" recordCount="0" supportSubquery="1" supportAdvancedDrill="1" xr:uid="{2327B637-CF99-48BD-B020-52E7CF13B8C3}">
  <cacheSource type="external" connectionId="9"/>
  <cacheFields count="3">
    <cacheField name="[Clean_QC_Audit].[Audit Result].[Audit Result]" caption="Audit Result" numFmtId="0" hierarchy="18" level="1">
      <sharedItems count="2">
        <s v="Fail"/>
        <s v="Pass"/>
      </sharedItems>
    </cacheField>
    <cacheField name="[Clean_QC_Audit].[Month Name].[Month Name]" caption="Month Name" numFmtId="0" hierarchy="16" level="1">
      <sharedItems count="3">
        <s v="February"/>
        <s v="January"/>
        <s v="March"/>
      </sharedItems>
    </cacheField>
    <cacheField name="[Measures].[Average of Audit_Score]" caption="Average of Audit_Score" numFmtId="0" hierarchy="42" level="32767"/>
  </cacheFields>
  <cacheHierarchies count="52">
    <cacheHierarchy uniqueName="[Attendance1].[Attendance_ID]" caption="Attendance_ID" attribute="1" defaultMemberUniqueName="[Attendance1].[Attendance_ID].[All]" allUniqueName="[Attendance1].[Attendance_ID].[All]" dimensionUniqueName="[Attendance1]" displayFolder="" count="0" memberValueDatatype="130" unbalanced="0"/>
    <cacheHierarchy uniqueName="[Attendance1].[Date]" caption="Date" attribute="1" time="1" defaultMemberUniqueName="[Attendance1].[Date].[All]" allUniqueName="[Attendance1].[Date].[All]" dimensionUniqueName="[Attendance1]" displayFolder="" count="0" memberValueDatatype="7" unbalanced="0"/>
    <cacheHierarchy uniqueName="[Attendance1].[Employee_ID]" caption="Employee_ID" attribute="1" defaultMemberUniqueName="[Attendance1].[Employee_ID].[All]" allUniqueName="[Attendance1].[Employee_ID].[All]" dimensionUniqueName="[Attendance1]" displayFolder="" count="0" memberValueDatatype="130" unbalanced="0"/>
    <cacheHierarchy uniqueName="[Attendance1].[Attendance_Status]" caption="Attendance_Status" attribute="1" defaultMemberUniqueName="[Attendance1].[Attendance_Status].[All]" allUniqueName="[Attendance1].[Attendance_Status].[All]" dimensionUniqueName="[Attendance1]" displayFolder="" count="0" memberValueDatatype="130" unbalanced="0"/>
    <cacheHierarchy uniqueName="[Attendance1].[Login_Time]" caption="Login_Time" attribute="1" time="1" defaultMemberUniqueName="[Attendance1].[Login_Time].[All]" allUniqueName="[Attendance1].[Login_Time].[All]" dimensionUniqueName="[Attendance1]" displayFolder="" count="0" memberValueDatatype="7" unbalanced="0"/>
    <cacheHierarchy uniqueName="[Attendance1].[Logout_Time]" caption="Logout_Time" attribute="1" time="1" defaultMemberUniqueName="[Attendance1].[Logout_Time].[All]" allUniqueName="[Attendance1].[Logout_Time].[All]" dimensionUniqueName="[Attendance1]" displayFolder="" count="0" memberValueDatatype="7" unbalanced="0"/>
    <cacheHierarchy uniqueName="[Attendance1].[Late_Login]" caption="Late_Login" attribute="1" defaultMemberUniqueName="[Attendance1].[Late_Login].[All]" allUniqueName="[Attendance1].[Late_Login].[All]" dimensionUniqueName="[Attendance1]" displayFolder="" count="0" memberValueDatatype="130" unbalanced="0"/>
    <cacheHierarchy uniqueName="[Clean_QC_Audit].[Audit_ID]" caption="Audit_ID" attribute="1" defaultMemberUniqueName="[Clean_QC_Audit].[Audit_ID].[All]" allUniqueName="[Clean_QC_Audit].[Audit_ID].[All]" dimensionUniqueName="[Clean_QC_Audit]" displayFolder="" count="0" memberValueDatatype="130" unbalanced="0"/>
    <cacheHierarchy uniqueName="[Clean_QC_Audit].[Audit_Date]" caption="Audit_Date" attribute="1" time="1" defaultMemberUniqueName="[Clean_QC_Audit].[Audit_Date].[All]" allUniqueName="[Clean_QC_Audit].[Audit_Date].[All]" dimensionUniqueName="[Clean_QC_Audit]" displayFolder="" count="0" memberValueDatatype="7" unbalanced="0"/>
    <cacheHierarchy uniqueName="[Clean_QC_Audit].[Employee_ID]" caption="Employee_ID" attribute="1" defaultMemberUniqueName="[Clean_QC_Audit].[Employee_ID].[All]" allUniqueName="[Clean_QC_Audit].[Employee_ID].[All]" dimensionUniqueName="[Clean_QC_Audit]" displayFolder="" count="0" memberValueDatatype="130" unbalanced="0"/>
    <cacheHierarchy uniqueName="[Clean_QC_Audit].[Cases_Audited]" caption="Cases_Audited" attribute="1" defaultMemberUniqueName="[Clean_QC_Audit].[Cases_Audited].[All]" allUniqueName="[Clean_QC_Audit].[Cases_Audited].[All]" dimensionUniqueName="[Clean_QC_Audit]" displayFolder="" count="0" memberValueDatatype="20" unbalanced="0"/>
    <cacheHierarchy uniqueName="[Clean_QC_Audit].[Audit_Score]" caption="Audit_Score" attribute="1" defaultMemberUniqueName="[Clean_QC_Audit].[Audit_Score].[All]" allUniqueName="[Clean_QC_Audit].[Audit_Score].[All]" dimensionUniqueName="[Clean_QC_Audit]" displayFolder="" count="0" memberValueDatatype="20" unbalanced="0"/>
    <cacheHierarchy uniqueName="[Clean_QC_Audit].[Critical_Errors]" caption="Critical_Errors" attribute="1" defaultMemberUniqueName="[Clean_QC_Audit].[Critical_Errors].[All]" allUniqueName="[Clean_QC_Audit].[Critical_Errors].[All]" dimensionUniqueName="[Clean_QC_Audit]" displayFolder="" count="0" memberValueDatatype="20" unbalanced="0"/>
    <cacheHierarchy uniqueName="[Clean_QC_Audit].[Major_Errors]" caption="Major_Errors" attribute="1" defaultMemberUniqueName="[Clean_QC_Audit].[Major_Errors].[All]" allUniqueName="[Clean_QC_Audit].[Major_Errors].[All]" dimensionUniqueName="[Clean_QC_Audit]" displayFolder="" count="0" memberValueDatatype="20" unbalanced="0"/>
    <cacheHierarchy uniqueName="[Clean_QC_Audit].[Minor_Errors]" caption="Minor_Errors" attribute="1" defaultMemberUniqueName="[Clean_QC_Audit].[Minor_Errors].[All]" allUniqueName="[Clean_QC_Audit].[Minor_Errors].[All]" dimensionUniqueName="[Clean_QC_Audit]" displayFolder="" count="0" memberValueDatatype="20" unbalanced="0"/>
    <cacheHierarchy uniqueName="[Clean_QC_Audit].[Auditor]" caption="Auditor" attribute="1" defaultMemberUniqueName="[Clean_QC_Audit].[Auditor].[All]" allUniqueName="[Clean_QC_Audit].[Auditor].[All]" dimensionUniqueName="[Clean_QC_Audit]" displayFolder="" count="0" memberValueDatatype="130" unbalanced="0"/>
    <cacheHierarchy uniqueName="[Clean_QC_Audit].[Month Name]" caption="Month Name" attribute="1" defaultMemberUniqueName="[Clean_QC_Audit].[Month Name].[All]" allUniqueName="[Clean_QC_Audit].[Month Name].[All]" dimensionUniqueName="[Clean_QC_Audit]" displayFolder="" count="2" memberValueDatatype="130" unbalanced="0">
      <fieldsUsage count="2">
        <fieldUsage x="-1"/>
        <fieldUsage x="1"/>
      </fieldsUsage>
    </cacheHierarchy>
    <cacheHierarchy uniqueName="[Clean_QC_Audit].[Total Errors]" caption="Total Errors" attribute="1" defaultMemberUniqueName="[Clean_QC_Audit].[Total Errors].[All]" allUniqueName="[Clean_QC_Audit].[Total Errors].[All]" dimensionUniqueName="[Clean_QC_Audit]" displayFolder="" count="0" memberValueDatatype="20" unbalanced="0"/>
    <cacheHierarchy uniqueName="[Clean_QC_Audit].[Audit Result]" caption="Audit Result" attribute="1" defaultMemberUniqueName="[Clean_QC_Audit].[Audit Result].[All]" allUniqueName="[Clean_QC_Audit].[Audit Result].[All]" dimensionUniqueName="[Clean_QC_Audit]" displayFolder="" count="2" memberValueDatatype="130" unbalanced="0">
      <fieldsUsage count="2">
        <fieldUsage x="-1"/>
        <fieldUsage x="0"/>
      </fieldsUsage>
    </cacheHierarchy>
    <cacheHierarchy uniqueName="[Clean_QC_Audit].[Audit_Date (Month)]" caption="Audit_Date (Month)" attribute="1" defaultMemberUniqueName="[Clean_QC_Audit].[Audit_Date (Month)].[All]" allUniqueName="[Clean_QC_Audit].[Audit_Date (Month)].[All]" dimensionUniqueName="[Clean_QC_Audit]" displayFolder="" count="0" memberValueDatatype="130" unbalanced="0"/>
    <cacheHierarchy uniqueName="[Employee_Master].[Employee_ID]" caption="Employee_ID" attribute="1" defaultMemberUniqueName="[Employee_Master].[Employee_ID].[All]" allUniqueName="[Employee_Master].[Employee_ID].[All]" dimensionUniqueName="[Employee_Master]" displayFolder="" count="0" memberValueDatatype="130" unbalanced="0"/>
    <cacheHierarchy uniqueName="[Employee_Master].[Employee_Name]" caption="Employee_Name" attribute="1" defaultMemberUniqueName="[Employee_Master].[Employee_Name].[All]" allUniqueName="[Employee_Master].[Employee_Name].[All]" dimensionUniqueName="[Employee_Master]" displayFolder="" count="0" memberValueDatatype="130" unbalanced="0"/>
    <cacheHierarchy uniqueName="[Employee_Master].[Email]" caption="Email" attribute="1" defaultMemberUniqueName="[Employee_Master].[Email].[All]" allUniqueName="[Employee_Master].[Email].[All]" dimensionUniqueName="[Employee_Master]" displayFolder="" count="0" memberValueDatatype="130" unbalanced="0"/>
    <cacheHierarchy uniqueName="[Employee_Master].[Department]" caption="Department" attribute="1" defaultMemberUniqueName="[Employee_Master].[Department].[All]" allUniqueName="[Employee_Master].[Department].[All]" dimensionUniqueName="[Employee_Master]" displayFolder="" count="0" memberValueDatatype="130" unbalanced="0"/>
    <cacheHierarchy uniqueName="[Employee_Master].[Process]" caption="Process" attribute="1" defaultMemberUniqueName="[Employee_Master].[Process].[All]" allUniqueName="[Employee_Master].[Process].[All]" dimensionUniqueName="[Employee_Master]" displayFolder="" count="2" memberValueDatatype="130" unbalanced="0"/>
    <cacheHierarchy uniqueName="[Employee_Master].[Team]" caption="Team" attribute="1" defaultMemberUniqueName="[Employee_Master].[Team].[All]" allUniqueName="[Employee_Master].[Team].[All]" dimensionUniqueName="[Employee_Master]" displayFolder="" count="0" memberValueDatatype="130" unbalanced="0"/>
    <cacheHierarchy uniqueName="[Employee_Master].[Designation]" caption="Designation" attribute="1" defaultMemberUniqueName="[Employee_Master].[Designation].[All]" allUniqueName="[Employee_Master].[Designation].[All]" dimensionUniqueName="[Employee_Master]" displayFolder="" count="0" memberValueDatatype="130" unbalanced="0"/>
    <cacheHierarchy uniqueName="[Employee_Master].[Manager_ID]" caption="Manager_ID" attribute="1" defaultMemberUniqueName="[Employee_Master].[Manager_ID].[All]" allUniqueName="[Employee_Master].[Manager_ID].[All]" dimensionUniqueName="[Employee_Master]" displayFolder="" count="0" memberValueDatatype="130" unbalanced="0"/>
    <cacheHierarchy uniqueName="[Employee_Master].[Manager_Name]" caption="Manager_Name" attribute="1" defaultMemberUniqueName="[Employee_Master].[Manager_Name].[All]" allUniqueName="[Employee_Master].[Manager_Name].[All]" dimensionUniqueName="[Employee_Master]" displayFolder="" count="0" memberValueDatatype="130" unbalanced="0"/>
    <cacheHierarchy uniqueName="[Employee_Master].[DOJ]" caption="DOJ" attribute="1" time="1" defaultMemberUniqueName="[Employee_Master].[DOJ].[All]" allUniqueName="[Employee_Master].[DOJ].[All]" dimensionUniqueName="[Employee_Master]" displayFolder="" count="0" memberValueDatatype="7" unbalanced="0"/>
    <cacheHierarchy uniqueName="[Employee_Master].[Location]" caption="Location" attribute="1" defaultMemberUniqueName="[Employee_Master].[Location].[All]" allUniqueName="[Employee_Master].[Location].[All]" dimensionUniqueName="[Employee_Master]" displayFolder="" count="0" memberValueDatatype="130" unbalanced="0"/>
    <cacheHierarchy uniqueName="[Employee_Master].[Shift]" caption="Shift" attribute="1" defaultMemberUniqueName="[Employee_Master].[Shift].[All]" allUniqueName="[Employee_Master].[Shift].[All]" dimensionUniqueName="[Employee_Master]" displayFolder="" count="0" memberValueDatatype="130" unbalanced="0"/>
    <cacheHierarchy uniqueName="[Employee_Master].[Status]" caption="Status" attribute="1" defaultMemberUniqueName="[Employee_Master].[Status].[All]" allUniqueName="[Employee_Master].[Status].[All]" dimensionUniqueName="[Employee_Master]" displayFolder="" count="0" memberValueDatatype="130" unbalanced="0"/>
    <cacheHierarchy uniqueName="[Employee_Master].[Employee_Name - Copy]" caption="Employee_Name - Copy" attribute="1" defaultMemberUniqueName="[Employee_Master].[Employee_Name - Copy].[All]" allUniqueName="[Employee_Master].[Employee_Name - Copy].[All]" dimensionUniqueName="[Employee_Master]" displayFolder="" count="0" memberValueDatatype="130" unbalanced="0"/>
    <cacheHierarchy uniqueName="[Clean_QC_Audit].[Audit_Date (Month Index)]" caption="Audit_Date (Month Index)" attribute="1" defaultMemberUniqueName="[Clean_QC_Audit].[Audit_Date (Month Index)].[All]" allUniqueName="[Clean_QC_Audit].[Audit_Date (Month Index)].[All]" dimensionUniqueName="[Clean_QC_Audit]" displayFolder="" count="0" memberValueDatatype="20" unbalanced="0" hidden="1"/>
    <cacheHierarchy uniqueName="[Measures].[__XL_Count Clean_QC_Audit]" caption="__XL_Count Clean_QC_Audit" measure="1" displayFolder="" measureGroup="Clean_QC_Audit" count="0" hidden="1"/>
    <cacheHierarchy uniqueName="[Measures].[__XL_Count Attendance1]" caption="__XL_Count Attendance1" measure="1" displayFolder="" measureGroup="Attendance1" count="0" hidden="1"/>
    <cacheHierarchy uniqueName="[Measures].[__XL_Count Employee_Master]" caption="__XL_Count Employee_Master" measure="1" displayFolder="" measureGroup="Employee_Master" count="0" hidden="1"/>
    <cacheHierarchy uniqueName="[Measures].[__No measures defined]" caption="__No measures defined" measure="1" displayFolder="" count="0" hidden="1"/>
    <cacheHierarchy uniqueName="[Measures].[Sum of Cases_Audited]" caption="Sum of Cases_Audited" measure="1" displayFolder="" measureGroup="Clean_QC_Audit" count="0" hidden="1">
      <extLst>
        <ext xmlns:x15="http://schemas.microsoft.com/office/spreadsheetml/2010/11/main" uri="{B97F6D7D-B522-45F9-BDA1-12C45D357490}">
          <x15:cacheHierarchy aggregatedColumn="10"/>
        </ext>
      </extLst>
    </cacheHierarchy>
    <cacheHierarchy uniqueName="[Measures].[Count of Audit_ID]" caption="Count of Audit_ID" measure="1" displayFolder="" measureGroup="Clean_QC_Audit" count="0" hidden="1">
      <extLst>
        <ext xmlns:x15="http://schemas.microsoft.com/office/spreadsheetml/2010/11/main" uri="{B97F6D7D-B522-45F9-BDA1-12C45D357490}">
          <x15:cacheHierarchy aggregatedColumn="7"/>
        </ext>
      </extLst>
    </cacheHierarchy>
    <cacheHierarchy uniqueName="[Measures].[Sum of Audit_Score]" caption="Sum of Audit_Score" measure="1" displayFolder="" measureGroup="Clean_QC_Audit" count="0" hidden="1">
      <extLst>
        <ext xmlns:x15="http://schemas.microsoft.com/office/spreadsheetml/2010/11/main" uri="{B97F6D7D-B522-45F9-BDA1-12C45D357490}">
          <x15:cacheHierarchy aggregatedColumn="11"/>
        </ext>
      </extLst>
    </cacheHierarchy>
    <cacheHierarchy uniqueName="[Measures].[Average of Audit_Score]" caption="Average of Audit_Score" measure="1" displayFolder="" measureGroup="Clean_QC_Audit" count="0" oneField="1" hidden="1">
      <fieldsUsage count="1">
        <fieldUsage x="2"/>
      </fieldsUsage>
      <extLst>
        <ext xmlns:x15="http://schemas.microsoft.com/office/spreadsheetml/2010/11/main" uri="{B97F6D7D-B522-45F9-BDA1-12C45D357490}">
          <x15:cacheHierarchy aggregatedColumn="11"/>
        </ext>
      </extLst>
    </cacheHierarchy>
    <cacheHierarchy uniqueName="[Measures].[Max of Audit_Score]" caption="Max of Audit_Score" measure="1" displayFolder="" measureGroup="Clean_QC_Audit" count="0" hidden="1">
      <extLst>
        <ext xmlns:x15="http://schemas.microsoft.com/office/spreadsheetml/2010/11/main" uri="{B97F6D7D-B522-45F9-BDA1-12C45D357490}">
          <x15:cacheHierarchy aggregatedColumn="11"/>
        </ext>
      </extLst>
    </cacheHierarchy>
    <cacheHierarchy uniqueName="[Measures].[Min of Audit_Score]" caption="Min of Audit_Score" measure="1" displayFolder="" measureGroup="Clean_QC_Audit" count="0" hidden="1">
      <extLst>
        <ext xmlns:x15="http://schemas.microsoft.com/office/spreadsheetml/2010/11/main" uri="{B97F6D7D-B522-45F9-BDA1-12C45D357490}">
          <x15:cacheHierarchy aggregatedColumn="11"/>
        </ext>
      </extLst>
    </cacheHierarchy>
    <cacheHierarchy uniqueName="[Measures].[Count of Audit Result]" caption="Count of Audit Result" measure="1" displayFolder="" measureGroup="Clean_QC_Audit" count="0" hidden="1">
      <extLst>
        <ext xmlns:x15="http://schemas.microsoft.com/office/spreadsheetml/2010/11/main" uri="{B97F6D7D-B522-45F9-BDA1-12C45D357490}">
          <x15:cacheHierarchy aggregatedColumn="18"/>
        </ext>
      </extLst>
    </cacheHierarchy>
    <cacheHierarchy uniqueName="[Measures].[Sum of Critical_Errors]" caption="Sum of Critical_Errors" measure="1" displayFolder="" measureGroup="Clean_QC_Audit" count="0" hidden="1">
      <extLst>
        <ext xmlns:x15="http://schemas.microsoft.com/office/spreadsheetml/2010/11/main" uri="{B97F6D7D-B522-45F9-BDA1-12C45D357490}">
          <x15:cacheHierarchy aggregatedColumn="12"/>
        </ext>
      </extLst>
    </cacheHierarchy>
    <cacheHierarchy uniqueName="[Measures].[Sum of Major_Errors]" caption="Sum of Major_Errors" measure="1" displayFolder="" measureGroup="Clean_QC_Audit" count="0" hidden="1">
      <extLst>
        <ext xmlns:x15="http://schemas.microsoft.com/office/spreadsheetml/2010/11/main" uri="{B97F6D7D-B522-45F9-BDA1-12C45D357490}">
          <x15:cacheHierarchy aggregatedColumn="13"/>
        </ext>
      </extLst>
    </cacheHierarchy>
    <cacheHierarchy uniqueName="[Measures].[Sum of Minor_Errors]" caption="Sum of Minor_Errors" measure="1" displayFolder="" measureGroup="Clean_QC_Audit" count="0" hidden="1">
      <extLst>
        <ext xmlns:x15="http://schemas.microsoft.com/office/spreadsheetml/2010/11/main" uri="{B97F6D7D-B522-45F9-BDA1-12C45D357490}">
          <x15:cacheHierarchy aggregatedColumn="14"/>
        </ext>
      </extLst>
    </cacheHierarchy>
    <cacheHierarchy uniqueName="[Measures].[Count of Total Errors]" caption="Count of Total Errors" measure="1" displayFolder="" measureGroup="Clean_QC_Audit" count="0" hidden="1">
      <extLst>
        <ext xmlns:x15="http://schemas.microsoft.com/office/spreadsheetml/2010/11/main" uri="{B97F6D7D-B522-45F9-BDA1-12C45D357490}">
          <x15:cacheHierarchy aggregatedColumn="17"/>
        </ext>
      </extLst>
    </cacheHierarchy>
    <cacheHierarchy uniqueName="[Measures].[Sum of Total Errors]" caption="Sum of Total Errors" measure="1" displayFolder="" measureGroup="Clean_QC_Audit" count="0" hidden="1">
      <extLst>
        <ext xmlns:x15="http://schemas.microsoft.com/office/spreadsheetml/2010/11/main" uri="{B97F6D7D-B522-45F9-BDA1-12C45D357490}">
          <x15:cacheHierarchy aggregatedColumn="17"/>
        </ext>
      </extLst>
    </cacheHierarchy>
    <cacheHierarchy uniqueName="[Measures].[Average of Total Errors]" caption="Average of Total Errors" measure="1" displayFolder="" measureGroup="Clean_QC_Audit" count="0" hidden="1">
      <extLst>
        <ext xmlns:x15="http://schemas.microsoft.com/office/spreadsheetml/2010/11/main" uri="{B97F6D7D-B522-45F9-BDA1-12C45D357490}">
          <x15:cacheHierarchy aggregatedColumn="17"/>
        </ext>
      </extLst>
    </cacheHierarchy>
  </cacheHierarchies>
  <kpis count="0"/>
  <dimensions count="4">
    <dimension name="Attendance1" uniqueName="[Attendance1]" caption="Attendance1"/>
    <dimension name="Clean_QC_Audit" uniqueName="[Clean_QC_Audit]" caption="Clean_QC_Audit"/>
    <dimension name="Employee_Master" uniqueName="[Employee_Master]" caption="Employee_Master"/>
    <dimension measure="1" name="Measures" uniqueName="[Measures]" caption="Measures"/>
  </dimensions>
  <measureGroups count="3">
    <measureGroup name="Attendance1" caption="Attendance1"/>
    <measureGroup name="Clean_QC_Audit" caption="Clean_QC_Audit"/>
    <measureGroup name="Employee_Master" caption="Employee_Master"/>
  </measureGroups>
  <maps count="4">
    <map measureGroup="0"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oth G R" refreshedDate="46274.216551736114" createdVersion="3" refreshedVersion="8" minRefreshableVersion="3" recordCount="0" supportSubquery="1" supportAdvancedDrill="1" xr:uid="{FDD6383A-639C-4AA8-98F2-C5AA2CFC6CBF}">
  <cacheSource type="external" connectionId="9">
    <extLst>
      <ext xmlns:x14="http://schemas.microsoft.com/office/spreadsheetml/2009/9/main" uri="{F057638F-6D5F-4e77-A914-E7F072B9BCA8}">
        <x14:sourceConnection name="ThisWorkbookDataModel"/>
      </ext>
    </extLst>
  </cacheSource>
  <cacheFields count="0"/>
  <cacheHierarchies count="50">
    <cacheHierarchy uniqueName="[Attendance1].[Attendance_ID]" caption="Attendance_ID" attribute="1" defaultMemberUniqueName="[Attendance1].[Attendance_ID].[All]" allUniqueName="[Attendance1].[Attendance_ID].[All]" dimensionUniqueName="[Attendance1]" displayFolder="" count="0" memberValueDatatype="130" unbalanced="0"/>
    <cacheHierarchy uniqueName="[Attendance1].[Date]" caption="Date" attribute="1" time="1" defaultMemberUniqueName="[Attendance1].[Date].[All]" allUniqueName="[Attendance1].[Date].[All]" dimensionUniqueName="[Attendance1]" displayFolder="" count="0" memberValueDatatype="7" unbalanced="0"/>
    <cacheHierarchy uniqueName="[Attendance1].[Employee_ID]" caption="Employee_ID" attribute="1" defaultMemberUniqueName="[Attendance1].[Employee_ID].[All]" allUniqueName="[Attendance1].[Employee_ID].[All]" dimensionUniqueName="[Attendance1]" displayFolder="" count="0" memberValueDatatype="130" unbalanced="0"/>
    <cacheHierarchy uniqueName="[Attendance1].[Attendance_Status]" caption="Attendance_Status" attribute="1" defaultMemberUniqueName="[Attendance1].[Attendance_Status].[All]" allUniqueName="[Attendance1].[Attendance_Status].[All]" dimensionUniqueName="[Attendance1]" displayFolder="" count="0" memberValueDatatype="130" unbalanced="0"/>
    <cacheHierarchy uniqueName="[Attendance1].[Login_Time]" caption="Login_Time" attribute="1" time="1" defaultMemberUniqueName="[Attendance1].[Login_Time].[All]" allUniqueName="[Attendance1].[Login_Time].[All]" dimensionUniqueName="[Attendance1]" displayFolder="" count="0" memberValueDatatype="7" unbalanced="0"/>
    <cacheHierarchy uniqueName="[Attendance1].[Logout_Time]" caption="Logout_Time" attribute="1" time="1" defaultMemberUniqueName="[Attendance1].[Logout_Time].[All]" allUniqueName="[Attendance1].[Logout_Time].[All]" dimensionUniqueName="[Attendance1]" displayFolder="" count="0" memberValueDatatype="7" unbalanced="0"/>
    <cacheHierarchy uniqueName="[Attendance1].[Late_Login]" caption="Late_Login" attribute="1" defaultMemberUniqueName="[Attendance1].[Late_Login].[All]" allUniqueName="[Attendance1].[Late_Login].[All]" dimensionUniqueName="[Attendance1]" displayFolder="" count="0" memberValueDatatype="130" unbalanced="0"/>
    <cacheHierarchy uniqueName="[Clean_QC_Audit].[Audit_ID]" caption="Audit_ID" attribute="1" defaultMemberUniqueName="[Clean_QC_Audit].[Audit_ID].[All]" allUniqueName="[Clean_QC_Audit].[Audit_ID].[All]" dimensionUniqueName="[Clean_QC_Audit]" displayFolder="" count="0" memberValueDatatype="130" unbalanced="0"/>
    <cacheHierarchy uniqueName="[Clean_QC_Audit].[Audit_Date]" caption="Audit_Date" attribute="1" time="1" defaultMemberUniqueName="[Clean_QC_Audit].[Audit_Date].[All]" allUniqueName="[Clean_QC_Audit].[Audit_Date].[All]" dimensionUniqueName="[Clean_QC_Audit]" displayFolder="" count="0" memberValueDatatype="7" unbalanced="0"/>
    <cacheHierarchy uniqueName="[Clean_QC_Audit].[Employee_ID]" caption="Employee_ID" attribute="1" defaultMemberUniqueName="[Clean_QC_Audit].[Employee_ID].[All]" allUniqueName="[Clean_QC_Audit].[Employee_ID].[All]" dimensionUniqueName="[Clean_QC_Audit]" displayFolder="" count="0" memberValueDatatype="130" unbalanced="0"/>
    <cacheHierarchy uniqueName="[Clean_QC_Audit].[Cases_Audited]" caption="Cases_Audited" attribute="1" defaultMemberUniqueName="[Clean_QC_Audit].[Cases_Audited].[All]" allUniqueName="[Clean_QC_Audit].[Cases_Audited].[All]" dimensionUniqueName="[Clean_QC_Audit]" displayFolder="" count="0" memberValueDatatype="20" unbalanced="0"/>
    <cacheHierarchy uniqueName="[Clean_QC_Audit].[Audit_Score]" caption="Audit_Score" attribute="1" defaultMemberUniqueName="[Clean_QC_Audit].[Audit_Score].[All]" allUniqueName="[Clean_QC_Audit].[Audit_Score].[All]" dimensionUniqueName="[Clean_QC_Audit]" displayFolder="" count="0" memberValueDatatype="20" unbalanced="0"/>
    <cacheHierarchy uniqueName="[Clean_QC_Audit].[Critical_Errors]" caption="Critical_Errors" attribute="1" defaultMemberUniqueName="[Clean_QC_Audit].[Critical_Errors].[All]" allUniqueName="[Clean_QC_Audit].[Critical_Errors].[All]" dimensionUniqueName="[Clean_QC_Audit]" displayFolder="" count="0" memberValueDatatype="20" unbalanced="0"/>
    <cacheHierarchy uniqueName="[Clean_QC_Audit].[Major_Errors]" caption="Major_Errors" attribute="1" defaultMemberUniqueName="[Clean_QC_Audit].[Major_Errors].[All]" allUniqueName="[Clean_QC_Audit].[Major_Errors].[All]" dimensionUniqueName="[Clean_QC_Audit]" displayFolder="" count="0" memberValueDatatype="20" unbalanced="0"/>
    <cacheHierarchy uniqueName="[Clean_QC_Audit].[Minor_Errors]" caption="Minor_Errors" attribute="1" defaultMemberUniqueName="[Clean_QC_Audit].[Minor_Errors].[All]" allUniqueName="[Clean_QC_Audit].[Minor_Errors].[All]" dimensionUniqueName="[Clean_QC_Audit]" displayFolder="" count="0" memberValueDatatype="20" unbalanced="0"/>
    <cacheHierarchy uniqueName="[Clean_QC_Audit].[Auditor]" caption="Auditor" attribute="1" defaultMemberUniqueName="[Clean_QC_Audit].[Auditor].[All]" allUniqueName="[Clean_QC_Audit].[Auditor].[All]" dimensionUniqueName="[Clean_QC_Audit]" displayFolder="" count="0" memberValueDatatype="130" unbalanced="0"/>
    <cacheHierarchy uniqueName="[Clean_QC_Audit].[Month Name]" caption="Month Name" attribute="1" defaultMemberUniqueName="[Clean_QC_Audit].[Month Name].[All]" allUniqueName="[Clean_QC_Audit].[Month Name].[All]" dimensionUniqueName="[Clean_QC_Audit]" displayFolder="" count="2" memberValueDatatype="130" unbalanced="0"/>
    <cacheHierarchy uniqueName="[Clean_QC_Audit].[Total Errors]" caption="Total Errors" attribute="1" defaultMemberUniqueName="[Clean_QC_Audit].[Total Errors].[All]" allUniqueName="[Clean_QC_Audit].[Total Errors].[All]" dimensionUniqueName="[Clean_QC_Audit]" displayFolder="" count="0" memberValueDatatype="20" unbalanced="0"/>
    <cacheHierarchy uniqueName="[Clean_QC_Audit].[Audit Result]" caption="Audit Result" attribute="1" defaultMemberUniqueName="[Clean_QC_Audit].[Audit Result].[All]" allUniqueName="[Clean_QC_Audit].[Audit Result].[All]" dimensionUniqueName="[Clean_QC_Audit]" displayFolder="" count="0" memberValueDatatype="130" unbalanced="0"/>
    <cacheHierarchy uniqueName="[Clean_QC_Audit].[Audit_Date (Month)]" caption="Audit_Date (Month)" attribute="1" defaultMemberUniqueName="[Clean_QC_Audit].[Audit_Date (Month)].[All]" allUniqueName="[Clean_QC_Audit].[Audit_Date (Month)].[All]" dimensionUniqueName="[Clean_QC_Audit]" displayFolder="" count="0" memberValueDatatype="130" unbalanced="0"/>
    <cacheHierarchy uniqueName="[Employee_Master].[Employee_ID]" caption="Employee_ID" attribute="1" defaultMemberUniqueName="[Employee_Master].[Employee_ID].[All]" allUniqueName="[Employee_Master].[Employee_ID].[All]" dimensionUniqueName="[Employee_Master]" displayFolder="" count="0" memberValueDatatype="130" unbalanced="0"/>
    <cacheHierarchy uniqueName="[Employee_Master].[Employee_Name]" caption="Employee_Name" attribute="1" defaultMemberUniqueName="[Employee_Master].[Employee_Name].[All]" allUniqueName="[Employee_Master].[Employee_Name].[All]" dimensionUniqueName="[Employee_Master]" displayFolder="" count="2" memberValueDatatype="130" unbalanced="0"/>
    <cacheHierarchy uniqueName="[Employee_Master].[Email]" caption="Email" attribute="1" defaultMemberUniqueName="[Employee_Master].[Email].[All]" allUniqueName="[Employee_Master].[Email].[All]" dimensionUniqueName="[Employee_Master]" displayFolder="" count="0" memberValueDatatype="130" unbalanced="0"/>
    <cacheHierarchy uniqueName="[Employee_Master].[Department]" caption="Department" attribute="1" defaultMemberUniqueName="[Employee_Master].[Department].[All]" allUniqueName="[Employee_Master].[Department].[All]" dimensionUniqueName="[Employee_Master]" displayFolder="" count="0" memberValueDatatype="130" unbalanced="0"/>
    <cacheHierarchy uniqueName="[Employee_Master].[Process]" caption="Process" attribute="1" defaultMemberUniqueName="[Employee_Master].[Process].[All]" allUniqueName="[Employee_Master].[Process].[All]" dimensionUniqueName="[Employee_Master]" displayFolder="" count="2" memberValueDatatype="130" unbalanced="0"/>
    <cacheHierarchy uniqueName="[Employee_Master].[Team]" caption="Team" attribute="1" defaultMemberUniqueName="[Employee_Master].[Team].[All]" allUniqueName="[Employee_Master].[Team].[All]" dimensionUniqueName="[Employee_Master]" displayFolder="" count="0" memberValueDatatype="130" unbalanced="0"/>
    <cacheHierarchy uniqueName="[Employee_Master].[Designation]" caption="Designation" attribute="1" defaultMemberUniqueName="[Employee_Master].[Designation].[All]" allUniqueName="[Employee_Master].[Designation].[All]" dimensionUniqueName="[Employee_Master]" displayFolder="" count="0" memberValueDatatype="130" unbalanced="0"/>
    <cacheHierarchy uniqueName="[Employee_Master].[Manager_ID]" caption="Manager_ID" attribute="1" defaultMemberUniqueName="[Employee_Master].[Manager_ID].[All]" allUniqueName="[Employee_Master].[Manager_ID].[All]" dimensionUniqueName="[Employee_Master]" displayFolder="" count="0" memberValueDatatype="130" unbalanced="0"/>
    <cacheHierarchy uniqueName="[Employee_Master].[Manager_Name]" caption="Manager_Name" attribute="1" defaultMemberUniqueName="[Employee_Master].[Manager_Name].[All]" allUniqueName="[Employee_Master].[Manager_Name].[All]" dimensionUniqueName="[Employee_Master]" displayFolder="" count="0" memberValueDatatype="130" unbalanced="0"/>
    <cacheHierarchy uniqueName="[Employee_Master].[DOJ]" caption="DOJ" attribute="1" time="1" defaultMemberUniqueName="[Employee_Master].[DOJ].[All]" allUniqueName="[Employee_Master].[DOJ].[All]" dimensionUniqueName="[Employee_Master]" displayFolder="" count="0" memberValueDatatype="7" unbalanced="0"/>
    <cacheHierarchy uniqueName="[Employee_Master].[Location]" caption="Location" attribute="1" defaultMemberUniqueName="[Employee_Master].[Location].[All]" allUniqueName="[Employee_Master].[Location].[All]" dimensionUniqueName="[Employee_Master]" displayFolder="" count="0" memberValueDatatype="130" unbalanced="0"/>
    <cacheHierarchy uniqueName="[Employee_Master].[Shift]" caption="Shift" attribute="1" defaultMemberUniqueName="[Employee_Master].[Shift].[All]" allUniqueName="[Employee_Master].[Shift].[All]" dimensionUniqueName="[Employee_Master]" displayFolder="" count="0" memberValueDatatype="130" unbalanced="0"/>
    <cacheHierarchy uniqueName="[Employee_Master].[Status]" caption="Status" attribute="1" defaultMemberUniqueName="[Employee_Master].[Status].[All]" allUniqueName="[Employee_Master].[Status].[All]" dimensionUniqueName="[Employee_Master]" displayFolder="" count="0" memberValueDatatype="130" unbalanced="0"/>
    <cacheHierarchy uniqueName="[Employee_Master].[Employee_Name - Copy]" caption="Employee_Name - Copy" attribute="1" defaultMemberUniqueName="[Employee_Master].[Employee_Name - Copy].[All]" allUniqueName="[Employee_Master].[Employee_Name - Copy].[All]" dimensionUniqueName="[Employee_Master]" displayFolder="" count="0" memberValueDatatype="130" unbalanced="0"/>
    <cacheHierarchy uniqueName="[Clean_QC_Audit].[Audit_Date (Month Index)]" caption="Audit_Date (Month Index)" attribute="1" defaultMemberUniqueName="[Clean_QC_Audit].[Audit_Date (Month Index)].[All]" allUniqueName="[Clean_QC_Audit].[Audit_Date (Month Index)].[All]" dimensionUniqueName="[Clean_QC_Audit]" displayFolder="" count="0" memberValueDatatype="20" unbalanced="0" hidden="1"/>
    <cacheHierarchy uniqueName="[Measures].[__XL_Count Clean_QC_Audit]" caption="__XL_Count Clean_QC_Audit" measure="1" displayFolder="" measureGroup="Clean_QC_Audit" count="0" hidden="1"/>
    <cacheHierarchy uniqueName="[Measures].[__XL_Count Attendance1]" caption="__XL_Count Attendance1" measure="1" displayFolder="" measureGroup="Attendance1" count="0" hidden="1"/>
    <cacheHierarchy uniqueName="[Measures].[__XL_Count Employee_Master]" caption="__XL_Count Employee_Master" measure="1" displayFolder="" measureGroup="Employee_Master" count="0" hidden="1"/>
    <cacheHierarchy uniqueName="[Measures].[__No measures defined]" caption="__No measures defined" measure="1" displayFolder="" count="0" hidden="1"/>
    <cacheHierarchy uniqueName="[Measures].[Sum of Cases_Audited]" caption="Sum of Cases_Audited" measure="1" displayFolder="" measureGroup="Clean_QC_Audit" count="0" hidden="1">
      <extLst>
        <ext xmlns:x15="http://schemas.microsoft.com/office/spreadsheetml/2010/11/main" uri="{B97F6D7D-B522-45F9-BDA1-12C45D357490}">
          <x15:cacheHierarchy aggregatedColumn="10"/>
        </ext>
      </extLst>
    </cacheHierarchy>
    <cacheHierarchy uniqueName="[Measures].[Count of Audit_ID]" caption="Count of Audit_ID" measure="1" displayFolder="" measureGroup="Clean_QC_Audit" count="0" hidden="1">
      <extLst>
        <ext xmlns:x15="http://schemas.microsoft.com/office/spreadsheetml/2010/11/main" uri="{B97F6D7D-B522-45F9-BDA1-12C45D357490}">
          <x15:cacheHierarchy aggregatedColumn="7"/>
        </ext>
      </extLst>
    </cacheHierarchy>
    <cacheHierarchy uniqueName="[Measures].[Sum of Audit_Score]" caption="Sum of Audit_Score" measure="1" displayFolder="" measureGroup="Clean_QC_Audit" count="0" hidden="1">
      <extLst>
        <ext xmlns:x15="http://schemas.microsoft.com/office/spreadsheetml/2010/11/main" uri="{B97F6D7D-B522-45F9-BDA1-12C45D357490}">
          <x15:cacheHierarchy aggregatedColumn="11"/>
        </ext>
      </extLst>
    </cacheHierarchy>
    <cacheHierarchy uniqueName="[Measures].[Average of Audit_Score]" caption="Average of Audit_Score" measure="1" displayFolder="" measureGroup="Clean_QC_Audit" count="0" hidden="1">
      <extLst>
        <ext xmlns:x15="http://schemas.microsoft.com/office/spreadsheetml/2010/11/main" uri="{B97F6D7D-B522-45F9-BDA1-12C45D357490}">
          <x15:cacheHierarchy aggregatedColumn="11"/>
        </ext>
      </extLst>
    </cacheHierarchy>
    <cacheHierarchy uniqueName="[Measures].[Max of Audit_Score]" caption="Max of Audit_Score" measure="1" displayFolder="" measureGroup="Clean_QC_Audit" count="0" hidden="1">
      <extLst>
        <ext xmlns:x15="http://schemas.microsoft.com/office/spreadsheetml/2010/11/main" uri="{B97F6D7D-B522-45F9-BDA1-12C45D357490}">
          <x15:cacheHierarchy aggregatedColumn="11"/>
        </ext>
      </extLst>
    </cacheHierarchy>
    <cacheHierarchy uniqueName="[Measures].[Min of Audit_Score]" caption="Min of Audit_Score" measure="1" displayFolder="" measureGroup="Clean_QC_Audit" count="0" hidden="1">
      <extLst>
        <ext xmlns:x15="http://schemas.microsoft.com/office/spreadsheetml/2010/11/main" uri="{B97F6D7D-B522-45F9-BDA1-12C45D357490}">
          <x15:cacheHierarchy aggregatedColumn="11"/>
        </ext>
      </extLst>
    </cacheHierarchy>
    <cacheHierarchy uniqueName="[Measures].[Count of Audit Result]" caption="Count of Audit Result" measure="1" displayFolder="" measureGroup="Clean_QC_Audit" count="0" hidden="1">
      <extLst>
        <ext xmlns:x15="http://schemas.microsoft.com/office/spreadsheetml/2010/11/main" uri="{B97F6D7D-B522-45F9-BDA1-12C45D357490}">
          <x15:cacheHierarchy aggregatedColumn="18"/>
        </ext>
      </extLst>
    </cacheHierarchy>
    <cacheHierarchy uniqueName="[Measures].[Sum of Critical_Errors]" caption="Sum of Critical_Errors" measure="1" displayFolder="" measureGroup="Clean_QC_Audit" count="0" hidden="1">
      <extLst>
        <ext xmlns:x15="http://schemas.microsoft.com/office/spreadsheetml/2010/11/main" uri="{B97F6D7D-B522-45F9-BDA1-12C45D357490}">
          <x15:cacheHierarchy aggregatedColumn="12"/>
        </ext>
      </extLst>
    </cacheHierarchy>
    <cacheHierarchy uniqueName="[Measures].[Sum of Major_Errors]" caption="Sum of Major_Errors" measure="1" displayFolder="" measureGroup="Clean_QC_Audit" count="0" hidden="1">
      <extLst>
        <ext xmlns:x15="http://schemas.microsoft.com/office/spreadsheetml/2010/11/main" uri="{B97F6D7D-B522-45F9-BDA1-12C45D357490}">
          <x15:cacheHierarchy aggregatedColumn="13"/>
        </ext>
      </extLst>
    </cacheHierarchy>
    <cacheHierarchy uniqueName="[Measures].[Sum of Minor_Errors]" caption="Sum of Minor_Errors" measure="1" displayFolder="" measureGroup="Clean_QC_Audit" count="0" hidden="1">
      <extLst>
        <ext xmlns:x15="http://schemas.microsoft.com/office/spreadsheetml/2010/11/main" uri="{B97F6D7D-B522-45F9-BDA1-12C45D357490}">
          <x15:cacheHierarchy aggregatedColumn="14"/>
        </ext>
      </extLst>
    </cacheHierarchy>
    <cacheHierarchy uniqueName="[Measures].[Count of Total Errors]" caption="Count of Total Errors" measure="1" displayFolder="" measureGroup="Clean_QC_Audit"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170518399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822406-05B3-47E2-B0B2-EEAF3BC60042}" name="PivotTable3" cacheId="1805" applyNumberFormats="0" applyBorderFormats="0" applyFontFormats="0" applyPatternFormats="0" applyAlignmentFormats="0" applyWidthHeightFormats="1" dataCaption="Values" tag="a2dbd42a-3493-4d4d-ba6d-00b99d45e0a0" updatedVersion="8" minRefreshableVersion="3" subtotalHiddenItems="1" itemPrintTitles="1" createdVersion="5" indent="0" outline="1" outlineData="1" multipleFieldFilters="0" chartFormat="4" rowHeaderCaption="Employee / Process ">
  <location ref="R15:S90" firstHeaderRow="1" firstDataRow="1" firstDataCol="1"/>
  <pivotFields count="4">
    <pivotField name="Employee Filter" allDrilled="1" subtotalTop="0" showAll="0" dataSourceSort="1" defaultSubtotal="0" defaultAttributeDrillState="1"/>
    <pivotField axis="axisRow" allDrilled="1" subtotalTop="0" showAll="0" dataSourceSort="1" defaultSubtotal="0" defaultAttributeDrillState="1">
      <items count="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s>
    </pivotField>
    <pivotField dataField="1" subtotalTop="0" showAll="0" defaultSubtotal="0"/>
    <pivotField allDrilled="1" subtotalTop="0" showAll="0" dataSourceSort="1" defaultSubtotal="0" defaultAttributeDrillState="1"/>
  </pivotFields>
  <rowFields count="1">
    <field x="1"/>
  </rowFields>
  <rowItems count="7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t="grand">
      <x/>
    </i>
  </rowItems>
  <colItems count="1">
    <i/>
  </colItems>
  <dataFields count="1">
    <dataField name="Average of Total Errors" fld="2" subtotal="average" baseField="0" baseItem="0"/>
  </dataFields>
  <formats count="4">
    <format dxfId="2471">
      <pivotArea outline="0" collapsedLevelsAreSubtotals="1" fieldPosition="0"/>
    </format>
    <format dxfId="2472">
      <pivotArea type="all" dataOnly="0" outline="0" fieldPosition="0"/>
    </format>
    <format dxfId="2473">
      <pivotArea outline="0" collapsedLevelsAreSubtotals="1" fieldPosition="0"/>
    </format>
    <format dxfId="2474">
      <pivotArea dataOnly="0" labelOnly="1" outline="0" axis="axisValues" fieldPosition="0"/>
    </format>
  </formats>
  <chartFormats count="1">
    <chartFormat chart="0" format="4"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Cases_Audited"/>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Error Count by Daily"/>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QC_Audit]"/>
        <x15:activeTabTopLevelEntity name="[Employee_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B6E144-3B6F-4D4F-9015-D2159E0DA9D9}" name="PivotTable8" cacheId="1820" applyNumberFormats="0" applyBorderFormats="0" applyFontFormats="0" applyPatternFormats="0" applyAlignmentFormats="0" applyWidthHeightFormats="1" dataCaption="Values" tag="12efcb06-6f4a-462c-87d2-d9bc0b37c00c" updatedVersion="8" minRefreshableVersion="3" useAutoFormatting="1" subtotalHiddenItems="1" rowGrandTotals="0" colGrandTotals="0" itemPrintTitles="1" createdVersion="5" indent="0" outline="1" outlineData="1" multipleFieldFilters="0" chartFormat="7" rowHeaderCaption="Audit Results">
  <location ref="N10:P11" firstHeaderRow="0" firstDataRow="1" firstDataCol="0"/>
  <pivotFields count="5">
    <pivotField allDrilled="1" subtotalTop="0" showAll="0" sortType="descending" defaultSubtotal="0" defaultAttributeDrillState="1">
      <items count="2">
        <item x="1"/>
        <item x="0"/>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Critical_Errors" fld="1" baseField="0" baseItem="0"/>
    <dataField name="Major_Errors" fld="2" baseField="0" baseItem="0"/>
    <dataField name="Minor_Errors" fld="3" baseField="0" baseItem="0"/>
  </dataFields>
  <formats count="23">
    <format dxfId="2485">
      <pivotArea outline="0" collapsedLevelsAreSubtotals="1" fieldPosition="0"/>
    </format>
    <format dxfId="2484">
      <pivotArea type="all" dataOnly="0" outline="0" fieldPosition="0"/>
    </format>
    <format dxfId="2483">
      <pivotArea outline="0" collapsedLevelsAreSubtotals="1" fieldPosition="0"/>
    </format>
    <format dxfId="2482">
      <pivotArea dataOnly="0" labelOnly="1" outline="0" axis="axisValues" fieldPosition="0"/>
    </format>
    <format dxfId="2481">
      <pivotArea dataOnly="0" labelOnly="1" outline="0" axis="axisValues" fieldPosition="0"/>
    </format>
    <format dxfId="2480">
      <pivotArea outline="0" collapsedLevelsAreSubtotals="1" fieldPosition="0"/>
    </format>
    <format dxfId="2479">
      <pivotArea dataOnly="0" labelOnly="1" outline="0" fieldPosition="0">
        <references count="1">
          <reference field="4294967294" count="3">
            <x v="0"/>
            <x v="1"/>
            <x v="2"/>
          </reference>
        </references>
      </pivotArea>
    </format>
    <format dxfId="2470">
      <pivotArea dataOnly="0" labelOnly="1" outline="0" fieldPosition="0">
        <references count="1">
          <reference field="4294967294" count="3">
            <x v="0"/>
            <x v="1"/>
            <x v="2"/>
          </reference>
        </references>
      </pivotArea>
    </format>
    <format dxfId="2456">
      <pivotArea outline="0" collapsedLevelsAreSubtotals="1" fieldPosition="0"/>
    </format>
    <format dxfId="2449">
      <pivotArea outline="0" collapsedLevelsAreSubtotals="1" fieldPosition="0"/>
    </format>
    <format dxfId="2442">
      <pivotArea outline="0" collapsedLevelsAreSubtotals="1" fieldPosition="0"/>
    </format>
    <format dxfId="2431">
      <pivotArea dataOnly="0" labelOnly="1" outline="0" fieldPosition="0">
        <references count="1">
          <reference field="4294967294" count="3">
            <x v="0"/>
            <x v="1"/>
            <x v="2"/>
          </reference>
        </references>
      </pivotArea>
    </format>
    <format dxfId="2424">
      <pivotArea dataOnly="0" labelOnly="1" outline="0" fieldPosition="0">
        <references count="1">
          <reference field="4294967294" count="3">
            <x v="0"/>
            <x v="1"/>
            <x v="2"/>
          </reference>
        </references>
      </pivotArea>
    </format>
    <format dxfId="2417">
      <pivotArea dataOnly="0" labelOnly="1" outline="0" fieldPosition="0">
        <references count="1">
          <reference field="4294967294" count="3">
            <x v="0"/>
            <x v="1"/>
            <x v="2"/>
          </reference>
        </references>
      </pivotArea>
    </format>
    <format dxfId="2410">
      <pivotArea outline="0" collapsedLevelsAreSubtotals="1" fieldPosition="0">
        <references count="1">
          <reference field="4294967294" count="1" selected="0">
            <x v="0"/>
          </reference>
        </references>
      </pivotArea>
    </format>
    <format dxfId="2409">
      <pivotArea outline="0" collapsedLevelsAreSubtotals="1" fieldPosition="0">
        <references count="1">
          <reference field="4294967294" count="1" selected="0">
            <x v="1"/>
          </reference>
        </references>
      </pivotArea>
    </format>
    <format dxfId="2408">
      <pivotArea outline="0" collapsedLevelsAreSubtotals="1" fieldPosition="0">
        <references count="1">
          <reference field="4294967294" count="1" selected="0">
            <x v="2"/>
          </reference>
        </references>
      </pivotArea>
    </format>
    <format dxfId="2407">
      <pivotArea dataOnly="0" labelOnly="1" outline="0" fieldPosition="0">
        <references count="1">
          <reference field="4294967294" count="3">
            <x v="0"/>
            <x v="1"/>
            <x v="2"/>
          </reference>
        </references>
      </pivotArea>
    </format>
    <format dxfId="2406">
      <pivotArea dataOnly="0" labelOnly="1" outline="0" fieldPosition="0">
        <references count="1">
          <reference field="4294967294" count="3">
            <x v="0"/>
            <x v="1"/>
            <x v="2"/>
          </reference>
        </references>
      </pivotArea>
    </format>
    <format dxfId="2405">
      <pivotArea dataOnly="0" labelOnly="1" outline="0" fieldPosition="0">
        <references count="1">
          <reference field="4294967294" count="1">
            <x v="0"/>
          </reference>
        </references>
      </pivotArea>
    </format>
    <format dxfId="2404">
      <pivotArea dataOnly="0" labelOnly="1" outline="0" fieldPosition="0">
        <references count="1">
          <reference field="4294967294" count="1">
            <x v="1"/>
          </reference>
        </references>
      </pivotArea>
    </format>
    <format dxfId="2403">
      <pivotArea dataOnly="0" labelOnly="1" outline="0" fieldPosition="0">
        <references count="1">
          <reference field="4294967294" count="1">
            <x v="2"/>
          </reference>
        </references>
      </pivotArea>
    </format>
    <format dxfId="2402">
      <pivotArea outline="0" collapsedLevelsAreSubtotals="1" fieldPosition="0"/>
    </format>
  </format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pivotArea type="data" outline="0" fieldPosition="0">
        <references count="1">
          <reference field="4294967294" count="1" selected="0">
            <x v="2"/>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ases Audited"/>
    <pivotHierarchy dragToData="1"/>
    <pivotHierarchy dragToData="1"/>
    <pivotHierarchy dragToData="1" caption="Average Audit_Score"/>
    <pivotHierarchy dragToData="1" caption="Max Audit_Score"/>
    <pivotHierarchy dragToData="1"/>
    <pivotHierarchy dragToData="1" caption="Count"/>
    <pivotHierarchy dragToData="1" caption="Critical_Errors"/>
    <pivotHierarchy dragToData="1" caption="Major_Errors"/>
    <pivotHierarchy dragToData="1" caption="Minor_Errors"/>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QC_Audit]"/>
        <x15:activeTabTopLevelEntity name="[Employee_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759D94-1113-41CA-8A12-9CE22DFB5F64}" name="PivotTable2" cacheId="1802" applyNumberFormats="0" applyBorderFormats="0" applyFontFormats="0" applyPatternFormats="0" applyAlignmentFormats="0" applyWidthHeightFormats="1" dataCaption="Values" tag="b1f57673-9643-4433-9ba1-370eb43c99ec" updatedVersion="8" minRefreshableVersion="3" useAutoFormatting="1" subtotalHiddenItems="1" itemPrintTitles="1" createdVersion="5" indent="0" outline="1" outlineData="1" multipleFieldFilters="0">
  <location ref="E4:E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ases Audited" fld="0" baseField="0" baseItem="0"/>
  </dataFields>
  <formats count="13">
    <format dxfId="2491">
      <pivotArea outline="0" collapsedLevelsAreSubtotals="1" fieldPosition="0"/>
    </format>
    <format dxfId="2490">
      <pivotArea type="all" dataOnly="0" outline="0" fieldPosition="0"/>
    </format>
    <format dxfId="2489">
      <pivotArea outline="0" collapsedLevelsAreSubtotals="1" fieldPosition="0"/>
    </format>
    <format dxfId="2488">
      <pivotArea dataOnly="0" labelOnly="1" outline="0" axis="axisValues" fieldPosition="0"/>
    </format>
    <format dxfId="2487">
      <pivotArea dataOnly="0" labelOnly="1" outline="0" axis="axisValues" fieldPosition="0"/>
    </format>
    <format dxfId="2486">
      <pivotArea outline="0" collapsedLevelsAreSubtotals="1" fieldPosition="0"/>
    </format>
    <format dxfId="2469">
      <pivotArea dataOnly="0" labelOnly="1" outline="0" axis="axisValues" fieldPosition="0"/>
    </format>
    <format dxfId="2455">
      <pivotArea outline="0" collapsedLevelsAreSubtotals="1" fieldPosition="0"/>
    </format>
    <format dxfId="2448">
      <pivotArea outline="0" collapsedLevelsAreSubtotals="1" fieldPosition="0"/>
    </format>
    <format dxfId="2441">
      <pivotArea outline="0" collapsedLevelsAreSubtotals="1" fieldPosition="0"/>
    </format>
    <format dxfId="2430">
      <pivotArea dataOnly="0" labelOnly="1" outline="0" axis="axisValues" fieldPosition="0"/>
    </format>
    <format dxfId="2423">
      <pivotArea dataOnly="0" labelOnly="1" outline="0" axis="axisValues" fieldPosition="0"/>
    </format>
    <format dxfId="2416">
      <pivotArea dataOnly="0" labelOnly="1" outline="0" axis="axisValues" fieldPosition="0"/>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ases Audite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QC_Audit]"/>
        <x15:activeTabTopLevelEntity name="[Employee_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2AFDAF-D2FA-43D1-9B8C-E30B0E466C9A}" name="PivotTable7" cacheId="1817" applyNumberFormats="0" applyBorderFormats="0" applyFontFormats="0" applyPatternFormats="0" applyAlignmentFormats="0" applyWidthHeightFormats="1" dataCaption="Values" tag="aa1dd3cb-baa7-48d5-98e8-fb802c991496" updatedVersion="8" minRefreshableVersion="3" useAutoFormatting="1" subtotalHiddenItems="1" rowGrandTotals="0" colGrandTotals="0" itemPrintTitles="1" createdVersion="5" indent="0" outline="1" outlineData="1" multipleFieldFilters="0" chartFormat="6" rowHeaderCaption="Audit Results">
  <location ref="J4:K6" firstHeaderRow="1" firstDataRow="1" firstDataCol="1"/>
  <pivotFields count="3">
    <pivotField dataField="1" subtotalTop="0" showAll="0" defaultSubtotal="0"/>
    <pivotField axis="axisRow" allDrilled="1" subtotalTop="0" showAll="0" defaultSubtotal="0" defaultAttributeDrillState="1">
      <items count="2">
        <item x="1"/>
        <item x="0"/>
      </items>
    </pivotField>
    <pivotField allDrilled="1" subtotalTop="0" showAll="0" dataSourceSort="1" defaultSubtotal="0" defaultAttributeDrillState="1"/>
  </pivotFields>
  <rowFields count="1">
    <field x="1"/>
  </rowFields>
  <rowItems count="2">
    <i>
      <x/>
    </i>
    <i>
      <x v="1"/>
    </i>
  </rowItems>
  <colItems count="1">
    <i/>
  </colItems>
  <dataFields count="1">
    <dataField name="Total Count" fld="0" subtotal="count" baseField="0" baseItem="0" numFmtId="1"/>
  </dataFields>
  <formats count="22">
    <format dxfId="2497">
      <pivotArea outline="0" collapsedLevelsAreSubtotals="1" fieldPosition="0"/>
    </format>
    <format dxfId="2496">
      <pivotArea type="all" dataOnly="0" outline="0" fieldPosition="0"/>
    </format>
    <format dxfId="2495">
      <pivotArea outline="0" collapsedLevelsAreSubtotals="1" fieldPosition="0"/>
    </format>
    <format dxfId="2494">
      <pivotArea dataOnly="0" labelOnly="1" outline="0" axis="axisValues" fieldPosition="0"/>
    </format>
    <format dxfId="2493">
      <pivotArea dataOnly="0" labelOnly="1" outline="0" axis="axisValues" fieldPosition="0"/>
    </format>
    <format dxfId="2492">
      <pivotArea outline="0" collapsedLevelsAreSubtotals="1" fieldPosition="0"/>
    </format>
    <format dxfId="2468">
      <pivotArea field="1" type="button" dataOnly="0" labelOnly="1" outline="0" axis="axisRow" fieldPosition="0"/>
    </format>
    <format dxfId="2467">
      <pivotArea dataOnly="0" labelOnly="1" outline="0" axis="axisValues" fieldPosition="0"/>
    </format>
    <format dxfId="2454">
      <pivotArea collapsedLevelsAreSubtotals="1" fieldPosition="0">
        <references count="1">
          <reference field="1" count="1">
            <x v="0"/>
          </reference>
        </references>
      </pivotArea>
    </format>
    <format dxfId="2453">
      <pivotArea dataOnly="0" labelOnly="1" fieldPosition="0">
        <references count="1">
          <reference field="1" count="1">
            <x v="0"/>
          </reference>
        </references>
      </pivotArea>
    </format>
    <format dxfId="2447">
      <pivotArea collapsedLevelsAreSubtotals="1" fieldPosition="0">
        <references count="1">
          <reference field="1" count="1">
            <x v="0"/>
          </reference>
        </references>
      </pivotArea>
    </format>
    <format dxfId="2446">
      <pivotArea dataOnly="0" labelOnly="1" fieldPosition="0">
        <references count="1">
          <reference field="1" count="1">
            <x v="0"/>
          </reference>
        </references>
      </pivotArea>
    </format>
    <format dxfId="2440">
      <pivotArea collapsedLevelsAreSubtotals="1" fieldPosition="0">
        <references count="1">
          <reference field="1" count="1">
            <x v="0"/>
          </reference>
        </references>
      </pivotArea>
    </format>
    <format dxfId="2439">
      <pivotArea dataOnly="0" labelOnly="1" fieldPosition="0">
        <references count="1">
          <reference field="1" count="1">
            <x v="0"/>
          </reference>
        </references>
      </pivotArea>
    </format>
    <format dxfId="2435">
      <pivotArea dataOnly="0" labelOnly="1" fieldPosition="0">
        <references count="1">
          <reference field="1" count="1">
            <x v="1"/>
          </reference>
        </references>
      </pivotArea>
    </format>
    <format dxfId="2432">
      <pivotArea collapsedLevelsAreSubtotals="1" fieldPosition="0">
        <references count="1">
          <reference field="1" count="1">
            <x v="1"/>
          </reference>
        </references>
      </pivotArea>
    </format>
    <format dxfId="2429">
      <pivotArea field="1" type="button" dataOnly="0" labelOnly="1" outline="0" axis="axisRow" fieldPosition="0"/>
    </format>
    <format dxfId="2428">
      <pivotArea dataOnly="0" labelOnly="1" outline="0" axis="axisValues" fieldPosition="0"/>
    </format>
    <format dxfId="2422">
      <pivotArea field="1" type="button" dataOnly="0" labelOnly="1" outline="0" axis="axisRow" fieldPosition="0"/>
    </format>
    <format dxfId="2421">
      <pivotArea dataOnly="0" labelOnly="1" outline="0" axis="axisValues" fieldPosition="0"/>
    </format>
    <format dxfId="2415">
      <pivotArea field="1" type="button" dataOnly="0" labelOnly="1" outline="0" axis="axisRow" fieldPosition="0"/>
    </format>
    <format dxfId="2414">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ases Audited"/>
    <pivotHierarchy dragToData="1"/>
    <pivotHierarchy dragToData="1"/>
    <pivotHierarchy dragToData="1" caption="Average Audit_Score"/>
    <pivotHierarchy dragToData="1" caption="Max Audit_Score"/>
    <pivotHierarchy dragToData="1"/>
    <pivotHierarchy dragToData="1" caption="Total Coun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QC_Audit]"/>
        <x15:activeTabTopLevelEntity name="[Employee_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0454CD-7577-487C-A6BE-11F98791E0D5}" name="PivotTable1" cacheId="1799" applyNumberFormats="0" applyBorderFormats="0" applyFontFormats="0" applyPatternFormats="0" applyAlignmentFormats="0" applyWidthHeightFormats="1" dataCaption="Values" tag="a2dbd42a-3493-4d4d-ba6d-00b99d45e0a0" updatedVersion="8" minRefreshableVersion="3" subtotalHiddenItems="1" itemPrintTitles="1" createdVersion="5" indent="0" outline="1" outlineData="1" multipleFieldFilters="0" rowHeaderCaption="Employee / Process ">
  <location ref="B7:C13" firstHeaderRow="1" firstDataRow="1" firstDataCol="1" rowPageCount="1" colPageCount="1"/>
  <pivotFields count="4">
    <pivotField dataField="1" subtotalTop="0" showAll="0" defaultSubtotal="0"/>
    <pivotField axis="axisRow" allDrilled="1" subtotalTop="0" showAll="0" dataSourceSort="1" defaultSubtotal="0">
      <items count="5">
        <item x="0" e="0"/>
        <item x="1" e="0"/>
        <item x="2" e="0"/>
        <item x="3" e="0"/>
        <item x="4" e="0"/>
      </items>
    </pivotField>
    <pivotField name="Employee" axis="axisPage"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pageFields count="1">
    <pageField fld="2" hier="33" name="[Employee_Master].[Employee_Name - Copy].[All]" cap="All"/>
  </pageFields>
  <dataFields count="1">
    <dataField name="Total Cases_Audited" fld="0" baseField="0" baseItem="0"/>
  </dataFields>
  <formats count="13">
    <format dxfId="2501">
      <pivotArea outline="0" collapsedLevelsAreSubtotals="1" fieldPosition="0"/>
    </format>
    <format dxfId="2500">
      <pivotArea type="all" dataOnly="0" outline="0" fieldPosition="0"/>
    </format>
    <format dxfId="2499">
      <pivotArea outline="0" collapsedLevelsAreSubtotals="1" fieldPosition="0"/>
    </format>
    <format dxfId="2498">
      <pivotArea dataOnly="0" labelOnly="1" outline="0" axis="axisValues" fieldPosition="0"/>
    </format>
    <format dxfId="2463">
      <pivotArea dataOnly="0" labelOnly="1" outline="0" fieldPosition="0">
        <references count="1">
          <reference field="2" count="0"/>
        </references>
      </pivotArea>
    </format>
    <format dxfId="2462">
      <pivotArea dataOnly="0" labelOnly="1" outline="0" fieldPosition="0">
        <references count="1">
          <reference field="2" count="0"/>
        </references>
      </pivotArea>
    </format>
    <format dxfId="2461">
      <pivotArea field="2" type="button" dataOnly="0" labelOnly="1" outline="0" axis="axisPage" fieldPosition="0"/>
    </format>
    <format dxfId="2460">
      <pivotArea field="2" type="button" dataOnly="0" labelOnly="1" outline="0" axis="axisPage" fieldPosition="0"/>
    </format>
    <format dxfId="2459">
      <pivotArea field="2" type="button" dataOnly="0" labelOnly="1" outline="0" axis="axisPage" fieldPosition="0"/>
    </format>
    <format dxfId="2458">
      <pivotArea field="2" type="button" dataOnly="0" labelOnly="1" outline="0" axis="axisPage" fieldPosition="0"/>
    </format>
    <format dxfId="2457">
      <pivotArea field="2" type="button" dataOnly="0" labelOnly="1" outline="0" axis="axisPage" fieldPosition="0"/>
    </format>
    <format dxfId="2434">
      <pivotArea dataOnly="0" labelOnly="1" outline="0" fieldPosition="0">
        <references count="1">
          <reference field="2" count="0"/>
        </references>
      </pivotArea>
    </format>
    <format dxfId="2433">
      <pivotArea dataOnly="0" labelOnly="1" outline="0" fieldPosition="0">
        <references count="1">
          <reference field="2" count="0"/>
        </references>
      </pivotArea>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Cases_Audite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QC_Audit]"/>
        <x15:activeTabTopLevelEntity name="[Employee_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CA9A806-9BDF-4367-8E0A-849C5801E31A}" name="PivotTable6" cacheId="1814" applyNumberFormats="0" applyBorderFormats="0" applyFontFormats="0" applyPatternFormats="0" applyAlignmentFormats="0" applyWidthHeightFormats="1" dataCaption="Values" tag="f3519c3a-efcd-4ec3-8fb1-f03e23830d90" updatedVersion="8" minRefreshableVersion="3" useAutoFormatting="1" subtotalHiddenItems="1" itemPrintTitles="1" createdVersion="5" indent="0" outline="1" outlineData="1" multipleFieldFilters="0">
  <location ref="H4:H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Max Audit_Score" fld="0" subtotal="max" baseField="0" baseItem="0" numFmtId="2"/>
  </dataFields>
  <formats count="13">
    <format dxfId="2507">
      <pivotArea outline="0" collapsedLevelsAreSubtotals="1" fieldPosition="0"/>
    </format>
    <format dxfId="2506">
      <pivotArea type="all" dataOnly="0" outline="0" fieldPosition="0"/>
    </format>
    <format dxfId="2505">
      <pivotArea outline="0" collapsedLevelsAreSubtotals="1" fieldPosition="0"/>
    </format>
    <format dxfId="2504">
      <pivotArea dataOnly="0" labelOnly="1" outline="0" axis="axisValues" fieldPosition="0"/>
    </format>
    <format dxfId="2503">
      <pivotArea dataOnly="0" labelOnly="1" outline="0" axis="axisValues" fieldPosition="0"/>
    </format>
    <format dxfId="2502">
      <pivotArea outline="0" collapsedLevelsAreSubtotals="1" fieldPosition="0"/>
    </format>
    <format dxfId="2466">
      <pivotArea dataOnly="0" labelOnly="1" outline="0" axis="axisValues" fieldPosition="0"/>
    </format>
    <format dxfId="2452">
      <pivotArea outline="0" collapsedLevelsAreSubtotals="1" fieldPosition="0"/>
    </format>
    <format dxfId="2445">
      <pivotArea outline="0" collapsedLevelsAreSubtotals="1" fieldPosition="0"/>
    </format>
    <format dxfId="2438">
      <pivotArea outline="0" collapsedLevelsAreSubtotals="1" fieldPosition="0"/>
    </format>
    <format dxfId="2427">
      <pivotArea dataOnly="0" labelOnly="1" outline="0" axis="axisValues" fieldPosition="0"/>
    </format>
    <format dxfId="2420">
      <pivotArea dataOnly="0" labelOnly="1" outline="0" axis="axisValues" fieldPosition="0"/>
    </format>
    <format dxfId="2413">
      <pivotArea dataOnly="0" labelOnly="1" outline="0" axis="axisValues" fieldPosition="0"/>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ases Audited"/>
    <pivotHierarchy dragToData="1"/>
    <pivotHierarchy dragToData="1"/>
    <pivotHierarchy dragToData="1" caption="Average Audit_Score"/>
    <pivotHierarchy dragToData="1" caption="Max Audit_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QC_Audit]"/>
        <x15:activeTabTopLevelEntity name="[Employee_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74905A5-5C14-4375-AA16-226ACEDF3EA8}" name="PivotTable5" cacheId="1811" applyNumberFormats="0" applyBorderFormats="0" applyFontFormats="0" applyPatternFormats="0" applyAlignmentFormats="0" applyWidthHeightFormats="1" dataCaption="Values" tag="6bdf32d7-e6de-451a-9fa3-6217db90d592" updatedVersion="8" minRefreshableVersion="3" useAutoFormatting="1" subtotalHiddenItems="1" itemPrintTitles="1" createdVersion="5" indent="0" outline="1" outlineData="1" multipleFieldFilters="0">
  <location ref="G4:G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Min  Audit_Score" fld="0" subtotal="min" baseField="0" baseItem="0" numFmtId="2"/>
  </dataFields>
  <formats count="13">
    <format dxfId="2513">
      <pivotArea outline="0" collapsedLevelsAreSubtotals="1" fieldPosition="0"/>
    </format>
    <format dxfId="2512">
      <pivotArea type="all" dataOnly="0" outline="0" fieldPosition="0"/>
    </format>
    <format dxfId="2511">
      <pivotArea outline="0" collapsedLevelsAreSubtotals="1" fieldPosition="0"/>
    </format>
    <format dxfId="2510">
      <pivotArea dataOnly="0" labelOnly="1" outline="0" axis="axisValues" fieldPosition="0"/>
    </format>
    <format dxfId="2509">
      <pivotArea dataOnly="0" labelOnly="1" outline="0" axis="axisValues" fieldPosition="0"/>
    </format>
    <format dxfId="2508">
      <pivotArea outline="0" collapsedLevelsAreSubtotals="1" fieldPosition="0"/>
    </format>
    <format dxfId="2465">
      <pivotArea dataOnly="0" labelOnly="1" outline="0" axis="axisValues" fieldPosition="0"/>
    </format>
    <format dxfId="2451">
      <pivotArea outline="0" collapsedLevelsAreSubtotals="1" fieldPosition="0"/>
    </format>
    <format dxfId="2444">
      <pivotArea outline="0" collapsedLevelsAreSubtotals="1" fieldPosition="0"/>
    </format>
    <format dxfId="2437">
      <pivotArea outline="0" collapsedLevelsAreSubtotals="1" fieldPosition="0"/>
    </format>
    <format dxfId="2426">
      <pivotArea dataOnly="0" labelOnly="1" outline="0" axis="axisValues" fieldPosition="0"/>
    </format>
    <format dxfId="2419">
      <pivotArea dataOnly="0" labelOnly="1" outline="0" axis="axisValues" fieldPosition="0"/>
    </format>
    <format dxfId="2412">
      <pivotArea dataOnly="0" labelOnly="1" outline="0" axis="axisValues" fieldPosition="0"/>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ases Audited"/>
    <pivotHierarchy dragToData="1"/>
    <pivotHierarchy dragToData="1"/>
    <pivotHierarchy dragToData="1" caption="Average Audit_Score"/>
    <pivotHierarchy dragToData="1"/>
    <pivotHierarchy dragToData="1" caption="Min  Audit_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QC_Audit]"/>
        <x15:activeTabTopLevelEntity name="[Employee_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91BB1FD-334E-45E8-ADD8-C352F6C078AF}" name="PivotTable4" cacheId="1808" applyNumberFormats="0" applyBorderFormats="0" applyFontFormats="0" applyPatternFormats="0" applyAlignmentFormats="0" applyWidthHeightFormats="1" dataCaption="Values" tag="872b2e78-af9b-4753-9f99-3b40949b3657" updatedVersion="8" minRefreshableVersion="3" useAutoFormatting="1" subtotalHiddenItems="1" itemPrintTitles="1" createdVersion="5" indent="0" outline="1" outlineData="1" multipleFieldFilters="0">
  <location ref="F4:F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Audit_Score" fld="0" subtotal="average" baseField="0" baseItem="0" numFmtId="2"/>
  </dataFields>
  <formats count="13">
    <format dxfId="2519">
      <pivotArea outline="0" collapsedLevelsAreSubtotals="1" fieldPosition="0"/>
    </format>
    <format dxfId="2518">
      <pivotArea type="all" dataOnly="0" outline="0" fieldPosition="0"/>
    </format>
    <format dxfId="2517">
      <pivotArea outline="0" collapsedLevelsAreSubtotals="1" fieldPosition="0"/>
    </format>
    <format dxfId="2516">
      <pivotArea dataOnly="0" labelOnly="1" outline="0" axis="axisValues" fieldPosition="0"/>
    </format>
    <format dxfId="2515">
      <pivotArea dataOnly="0" labelOnly="1" outline="0" axis="axisValues" fieldPosition="0"/>
    </format>
    <format dxfId="2514">
      <pivotArea outline="0" collapsedLevelsAreSubtotals="1" fieldPosition="0"/>
    </format>
    <format dxfId="2464">
      <pivotArea dataOnly="0" labelOnly="1" outline="0" axis="axisValues" fieldPosition="0"/>
    </format>
    <format dxfId="2450">
      <pivotArea outline="0" collapsedLevelsAreSubtotals="1" fieldPosition="0"/>
    </format>
    <format dxfId="2443">
      <pivotArea outline="0" collapsedLevelsAreSubtotals="1" fieldPosition="0"/>
    </format>
    <format dxfId="2436">
      <pivotArea outline="0" collapsedLevelsAreSubtotals="1" fieldPosition="0"/>
    </format>
    <format dxfId="2425">
      <pivotArea dataOnly="0" labelOnly="1" outline="0" axis="axisValues" fieldPosition="0"/>
    </format>
    <format dxfId="2418">
      <pivotArea dataOnly="0" labelOnly="1" outline="0" axis="axisValues" fieldPosition="0"/>
    </format>
    <format dxfId="2411">
      <pivotArea dataOnly="0" labelOnly="1" outline="0" axis="axisValues" fieldPosition="0"/>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ases Audited"/>
    <pivotHierarchy dragToData="1"/>
    <pivotHierarchy dragToData="1"/>
    <pivotHierarchy dragToData="1" caption="Average Audit_Scor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QC_Audit]"/>
        <x15:activeTabTopLevelEntity name="[Employee_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2F7DD62-55D2-4620-BF2E-313F1C4498DE}" name="PivotTable9" cacheId="1823" applyNumberFormats="0" applyBorderFormats="0" applyFontFormats="0" applyPatternFormats="0" applyAlignmentFormats="0" applyWidthHeightFormats="1" dataCaption="Values" tag="62dfb99a-260a-46b2-9746-1c46dca78100" updatedVersion="8" minRefreshableVersion="3" useAutoFormatting="1" subtotalHiddenItems="1" rowGrandTotals="0" colGrandTotals="0" itemPrintTitles="1" createdVersion="5" indent="0" outline="1" outlineData="1" multipleFieldFilters="0" chartFormat="3" rowHeaderCaption="Audit Results">
  <location ref="F12:G15" firstHeaderRow="1" firstDataRow="1" firstDataCol="1"/>
  <pivotFields count="3">
    <pivotField allDrilled="1" subtotalTop="0" showAll="0" sortType="descending" defaultSubtotal="0" defaultAttributeDrillState="1">
      <items count="2">
        <item x="1"/>
        <item x="0"/>
      </items>
    </pivotField>
    <pivotField axis="axisRow" allDrilled="1" subtotalTop="0" showAll="0" sortType="ascending" defaultSubtotal="0" defaultAttributeDrillState="1">
      <items count="3">
        <item x="1"/>
        <item x="0"/>
        <item x="2"/>
      </items>
    </pivotField>
    <pivotField dataField="1" subtotalTop="0" showAll="0" defaultSubtotal="0"/>
  </pivotFields>
  <rowFields count="1">
    <field x="1"/>
  </rowFields>
  <rowItems count="3">
    <i>
      <x/>
    </i>
    <i>
      <x v="1"/>
    </i>
    <i>
      <x v="2"/>
    </i>
  </rowItems>
  <colItems count="1">
    <i/>
  </colItems>
  <dataFields count="1">
    <dataField name="Monthly Avg Audit_Score" fld="2" subtotal="average" baseField="0" baseItem="0"/>
  </dataFields>
  <formats count="6">
    <format dxfId="2525">
      <pivotArea outline="0" collapsedLevelsAreSubtotals="1" fieldPosition="0"/>
    </format>
    <format dxfId="2524">
      <pivotArea type="all" dataOnly="0" outline="0" fieldPosition="0"/>
    </format>
    <format dxfId="2523">
      <pivotArea outline="0" collapsedLevelsAreSubtotals="1" fieldPosition="0"/>
    </format>
    <format dxfId="2522">
      <pivotArea dataOnly="0" labelOnly="1" outline="0" axis="axisValues" fieldPosition="0"/>
    </format>
    <format dxfId="2521">
      <pivotArea dataOnly="0" labelOnly="1" outline="0" axis="axisValues" fieldPosition="0"/>
    </format>
    <format dxfId="252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ases Audited"/>
    <pivotHierarchy dragToData="1"/>
    <pivotHierarchy dragToData="1"/>
    <pivotHierarchy dragToData="1" caption="Average Audit_Score"/>
    <pivotHierarchy dragToData="1" caption="Max Audit_Score"/>
    <pivotHierarchy dragToData="1"/>
    <pivotHierarchy dragToData="1" caption="Coun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QC_Audit]"/>
        <x15:activeTabTopLevelEntity name="[Employee_Mast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C751CD96-DDDE-47BE-847C-4E478DA19C1F}" autoFormatId="16" applyNumberFormats="0" applyBorderFormats="0" applyFontFormats="0" applyPatternFormats="0" applyAlignmentFormats="0" applyWidthHeightFormats="0">
  <queryTableRefresh nextId="15">
    <queryTableFields count="14">
      <queryTableField id="1" name="Audit_ID" tableColumnId="1"/>
      <queryTableField id="2" name="Audit_Date" tableColumnId="2"/>
      <queryTableField id="3" name="Employee_ID" tableColumnId="3"/>
      <queryTableField id="4" name="Cases_Audited" tableColumnId="4"/>
      <queryTableField id="5" name="Audit_Score" tableColumnId="5"/>
      <queryTableField id="6" name="Critical_Errors" tableColumnId="6"/>
      <queryTableField id="7" name="Major_Errors" tableColumnId="7"/>
      <queryTableField id="8" name="Minor_Errors" tableColumnId="8"/>
      <queryTableField id="9" name="Auditor" tableColumnId="9"/>
      <queryTableField id="10" name="Month Name" tableColumnId="10"/>
      <queryTableField id="11" name="Total Errors" tableColumnId="11"/>
      <queryTableField id="12" name="Audit Result" tableColumnId="12"/>
      <queryTableField id="13" name="Audit_Date (Month Index)" tableColumnId="13"/>
      <queryTableField id="14" name="Audit_Date (Month)" tableColumnId="14"/>
    </queryTableFields>
  </queryTableRefresh>
  <extLst>
    <ext xmlns:x15="http://schemas.microsoft.com/office/spreadsheetml/2010/11/main" uri="{883FBD77-0823-4a55-B5E3-86C4891E6966}">
      <x15:queryTable sourceDataName="Query - Clean_QC_Audit"/>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cess" xr10:uid="{FADA5A68-098E-468B-A7CA-EE761D4AF9D9}" sourceName="[Employee_Master].[Process]">
  <pivotTables>
    <pivotTable tabId="4" name="PivotTable1"/>
    <pivotTable tabId="4" name="PivotTable2"/>
    <pivotTable tabId="4" name="PivotTable4"/>
    <pivotTable tabId="4" name="PivotTable5"/>
    <pivotTable tabId="4" name="PivotTable6"/>
    <pivotTable tabId="4" name="PivotTable7"/>
    <pivotTable tabId="4" name="PivotTable8"/>
    <pivotTable tabId="4" name="PivotTable9"/>
    <pivotTable tabId="4" name="PivotTable3"/>
  </pivotTables>
  <data>
    <olap pivotCacheId="1705183991">
      <levels count="2">
        <level uniqueName="[Employee_Master].[Process].[(All)]" sourceCaption="(All)" count="0"/>
        <level uniqueName="[Employee_Master].[Process].[Process]" sourceCaption="Process" count="5">
          <ranges>
            <range startItem="0">
              <i n="[Employee_Master].[Process].&amp;[AML]" c="AML"/>
              <i n="[Employee_Master].[Process].&amp;[Consumer Lending]" c="Consumer Lending"/>
              <i n="[Employee_Master].[Process].&amp;[Mortgage]" c="Mortgage"/>
              <i n="[Employee_Master].[Process].&amp;[Payments]" c="Payments"/>
              <i n="[Employee_Master].[Process].&amp;[WIM]" c="WIM"/>
            </range>
          </ranges>
        </level>
      </levels>
      <selections count="1">
        <selection n="[Employee_Master].[Proces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64F01A6E-9F1D-4AF8-88FC-090DE57C40E2}" sourceName="[Clean_QC_Audit].[Month Name]">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olap pivotCacheId="1705183991">
      <levels count="2">
        <level uniqueName="[Clean_QC_Audit].[Month Name].[(All)]" sourceCaption="(All)" count="0"/>
        <level uniqueName="[Clean_QC_Audit].[Month Name].[Month Name]" sourceCaption="Month Name" count="3">
          <ranges>
            <range startItem="0">
              <i n="[Clean_QC_Audit].[Month Name].&amp;[February]" c="February"/>
              <i n="[Clean_QC_Audit].[Month Name].&amp;[January]" c="January"/>
              <i n="[Clean_QC_Audit].[Month Name].&amp;[March]" c="March"/>
            </range>
          </ranges>
        </level>
      </levels>
      <selections count="1">
        <selection n="[Clean_QC_Audit].[Month 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Name" xr10:uid="{B37DA149-85FC-4D5A-9C6B-1651662E0585}" sourceName="[Employee_Master].[Employee_Name]">
  <pivotTables>
    <pivotTable tabId="4" name="PivotTable1"/>
  </pivotTables>
  <data>
    <olap pivotCacheId="1705183991">
      <levels count="2">
        <level uniqueName="[Employee_Master].[Employee_Name].[(All)]" sourceCaption="(All)" count="0"/>
        <level uniqueName="[Employee_Master].[Employee_Name].[Employee_Name]" sourceCaption="Employee_Name" count="52">
          <ranges>
            <range startItem="0">
              <i n="[Employee_Master].[Employee_Name].&amp;[Aarav Iyer]" c="Aarav Iyer"/>
              <i n="[Employee_Master].[Employee_Name].&amp;[Aditi Krishnan]" c="Aditi Krishnan"/>
              <i n="[Employee_Master].[Employee_Name].&amp;[Akash Mukherjee]" c="Akash Mukherjee"/>
              <i n="[Employee_Master].[Employee_Name].&amp;[Akhil Menon]" c="Akhil Menon"/>
              <i n="[Employee_Master].[Employee_Name].&amp;[Ananya Rao]" c="Ananya Rao"/>
              <i n="[Employee_Master].[Employee_Name].&amp;[Anita Sharma]" c="Anita Sharma"/>
              <i n="[Employee_Master].[Employee_Name].&amp;[Arjun Sharma]" c="Arjun Sharma"/>
              <i n="[Employee_Master].[Employee_Name].&amp;[Arpita Verma]" c="Arpita Verma"/>
              <i n="[Employee_Master].[Employee_Name].&amp;[Bharat Nair]" c="Bharat Nair"/>
              <i n="[Employee_Master].[Employee_Name].&amp;[Bhavana Mishra]" c="Bhavana Mishra"/>
              <i n="[Employee_Master].[Employee_Name].&amp;[Bhavna Desai]" c="Bhavna Desai"/>
              <i n="[Employee_Master].[Employee_Name].&amp;[Chaitanya Saxena]" c="Chaitanya Saxena"/>
              <i n="[Employee_Master].[Employee_Name].&amp;[Chandrika Rao]" c="Chandrika Rao"/>
              <i n="[Employee_Master].[Employee_Name].&amp;[Chetan Sinha]" c="Chetan Sinha"/>
              <i n="[Employee_Master].[Employee_Name].&amp;[Deepak Bansal]" c="Deepak Bansal"/>
              <i n="[Employee_Master].[Employee_Name].&amp;[Dilip Kapoor]" c="Dilip Kapoor"/>
              <i n="[Employee_Master].[Employee_Name].&amp;[Divya Iyer]" c="Divya Iyer"/>
              <i n="[Employee_Master].[Employee_Name].&amp;[Divya Krishnan]" c="Divya Krishnan"/>
              <i n="[Employee_Master].[Employee_Name].&amp;[Eshan Gupta]" c="Eshan Gupta"/>
              <i n="[Employee_Master].[Employee_Name].&amp;[Farah Khan]" c="Farah Khan"/>
              <i n="[Employee_Master].[Employee_Name].&amp;[Gaurav Krishnan]" c="Gaurav Krishnan"/>
              <i n="[Employee_Master].[Employee_Name].&amp;[Geetha Pillai]" c="Geetha Pillai"/>
              <i n="[Employee_Master].[Employee_Name].&amp;[Harini Mukherjee]" c="Harini Mukherjee"/>
              <i n="[Employee_Master].[Employee_Name].&amp;[Harish Reddy]" c="Harish Reddy"/>
              <i n="[Employee_Master].[Employee_Name].&amp;[Indira Shah]" c="Indira Shah"/>
              <i n="[Employee_Master].[Employee_Name].&amp;[Ishaan Rao]" c="Ishaan Rao"/>
              <i n="[Employee_Master].[Employee_Name].&amp;[Ishita Sharma]" c="Ishita Sharma"/>
              <i n="[Employee_Master].[Employee_Name].&amp;[Jatin Verma]" c="Jatin Verma"/>
              <i n="[Employee_Master].[Employee_Name].&amp;[Karthik Verma]" c="Karthik Verma"/>
              <i n="[Employee_Master].[Employee_Name].&amp;[Kavitha Iyer]" c="Kavitha Iyer"/>
              <i n="[Employee_Master].[Employee_Name].&amp;[Kavya Mishra]" c="Kavya Mishra"/>
              <i n="[Employee_Master].[Employee_Name].&amp;[Kiran Saxena]" c="Kiran Saxena"/>
              <i n="[Employee_Master].[Employee_Name].&amp;[Kumar Ganesh]" c="Kumar Ganesh"/>
              <i n="[Employee_Master].[Employee_Name].&amp;[Meera Tiwari]" c="Meera Tiwari"/>
              <i n="[Employee_Master].[Employee_Name].&amp;[Nandita Bansal]" c="Nandita Bansal"/>
              <i n="[Employee_Master].[Employee_Name].&amp;[Naveen Iyer]" c="Naveen Iyer"/>
              <i n="[Employee_Master].[Employee_Name].&amp;[Neha Krishnan]" c="Neha Krishnan"/>
              <i n="[Employee_Master].[Employee_Name].&amp;[Nikhil Mukherjee]" c="Nikhil Mukherjee"/>
              <i n="[Employee_Master].[Employee_Name].&amp;[Pooja Rao]" c="Pooja Rao"/>
              <i n="[Employee_Master].[Employee_Name].&amp;[Priya Verma]" c="Priya Verma"/>
              <i n="[Employee_Master].[Employee_Name].&amp;[Raghavendra Iyer]" c="Raghavendra Iyer"/>
              <i n="[Employee_Master].[Employee_Name].&amp;[Rahul Mishra]" c="Rahul Mishra"/>
              <i n="[Employee_Master].[Employee_Name].&amp;[Rashmi Saxena]" c="Rashmi Saxena"/>
              <i n="[Employee_Master].[Employee_Name].&amp;[Rohan Tiwari]" c="Rohan Tiwari"/>
              <i n="[Employee_Master].[Employee_Name].&amp;[Sanjana Bansal]" c="Sanjana Bansal"/>
              <i n="[Employee_Master].[Employee_Name].&amp;[Sharma Ganesh]" c="Sharma Ganesh"/>
              <i n="[Employee_Master].[Employee_Name].&amp;[Shreya Iyer]" c="Shreya Iyer"/>
              <i n="[Employee_Master].[Employee_Name].&amp;[Siddharth Krishnan]" c="Siddharth Krishnan"/>
              <i n="[Employee_Master].[Employee_Name].&amp;[Sneha Mukherjee]" c="Sneha Mukherjee"/>
              <i n="[Employee_Master].[Employee_Name].&amp;[Srinivas Rao]" c="Srinivas Rao"/>
              <i n="[Employee_Master].[Employee_Name].&amp;[Deepa Tiwari]" c="Deepa Tiwari" nd="1"/>
              <i n="[Employee_Master].[Employee_Name].&amp;[Pranav Sharma]" c="Pranav Sharma" nd="1"/>
            </range>
          </ranges>
        </level>
      </levels>
      <selections count="1">
        <selection n="[Employee_Master].[Employee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cess" xr10:uid="{3B3056EA-3D7A-44F2-90A4-289F98F0237C}" cache="Slicer_Process" caption="Process" level="1" rowHeight="247650"/>
  <slicer name="Month Name" xr10:uid="{415156FE-E979-4438-8CAF-9804947B3B74}" cache="Slicer_Month_Name" caption="Month" columnCount="3" level="1" rowHeight="247650"/>
  <slicer name="Employee_Name" xr10:uid="{7D6B0673-18EE-420F-92AE-EF8D668F1567}" cache="Slicer_Employee_Name" caption="Employee_Name"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769017A-0D6B-4296-BE94-BF2A11F23B5E}" name="Clean_QC_Audit" displayName="Clean_QC_Audit" ref="A1:N149" tableType="queryTable" totalsRowShown="0">
  <autoFilter ref="A1:N149" xr:uid="{A769017A-0D6B-4296-BE94-BF2A11F23B5E}"/>
  <tableColumns count="14">
    <tableColumn id="1" xr3:uid="{F02C6E47-5E9F-43A6-90A2-28D6579F3252}" uniqueName="1" name="Audit_ID" queryTableFieldId="1" dataDxfId="2478"/>
    <tableColumn id="2" xr3:uid="{AA6ECF63-4227-4994-9FAD-D130B7F4DAE9}" uniqueName="2" name="Audit_Date" queryTableFieldId="2" dataDxfId="2401"/>
    <tableColumn id="3" xr3:uid="{FBB83AFD-22A5-4AB4-ABDC-4A0F22F1620E}" uniqueName="3" name="Employee_ID" queryTableFieldId="3" dataDxfId="2477"/>
    <tableColumn id="4" xr3:uid="{7D87B20A-63C3-464D-96DB-94021324D2AD}" uniqueName="4" name="Cases_Audited" queryTableFieldId="4"/>
    <tableColumn id="5" xr3:uid="{30A40C14-5EAE-4FA3-BB32-7CD9EF7C78FE}" uniqueName="5" name="Audit_Score" queryTableFieldId="5"/>
    <tableColumn id="6" xr3:uid="{DA2CFB03-9AFD-4307-9329-34D99E28478C}" uniqueName="6" name="Critical_Errors" queryTableFieldId="6"/>
    <tableColumn id="7" xr3:uid="{4C2A5650-8B51-4D7A-9561-5E835CE17842}" uniqueName="7" name="Major_Errors" queryTableFieldId="7"/>
    <tableColumn id="8" xr3:uid="{E6008E29-5655-4B10-AAFE-2AA819C8BEA1}" uniqueName="8" name="Minor_Errors" queryTableFieldId="8"/>
    <tableColumn id="9" xr3:uid="{2AAC2994-930A-4838-8EDF-180FF1A5EAEF}" uniqueName="9" name="Auditor" queryTableFieldId="9" dataDxfId="2476"/>
    <tableColumn id="10" xr3:uid="{7DC88175-D3C3-44F4-A1E1-7A422B06BB9C}" uniqueName="10" name="Month Name" queryTableFieldId="10" dataDxfId="2475"/>
    <tableColumn id="11" xr3:uid="{01CCD554-1851-43D2-AD39-B986D51157E9}" uniqueName="11" name="Total Errors" queryTableFieldId="11" dataDxfId="2400"/>
    <tableColumn id="12" xr3:uid="{796635DC-3266-4CF8-BA53-F06DF67EB9CC}" uniqueName="12" name="Audit Result" queryTableFieldId="12"/>
    <tableColumn id="13" xr3:uid="{A2E94B54-06A0-4A68-8F28-A56C32D4BDA3}" uniqueName="13" name="Audit_Date (Month Index)" queryTableFieldId="13"/>
    <tableColumn id="14" xr3:uid="{3743AAE5-23F0-4047-8F4A-967D3BFE3DF6}" uniqueName="14" name="Audit_Date (Month)" queryTableFieldId="14"/>
  </tableColumns>
  <tableStyleInfo name="TableStyleMedium7"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BA815-BD59-48D0-9B51-2A836A2CB3E3}">
  <dimension ref="A1:N149"/>
  <sheetViews>
    <sheetView workbookViewId="0">
      <selection activeCell="E14" sqref="E14"/>
    </sheetView>
  </sheetViews>
  <sheetFormatPr defaultRowHeight="14.4" x14ac:dyDescent="0.3"/>
  <cols>
    <col min="1" max="1" width="10.21875" bestFit="1" customWidth="1"/>
    <col min="2" max="2" width="12.33203125" bestFit="1" customWidth="1"/>
    <col min="3" max="3" width="14" bestFit="1" customWidth="1"/>
    <col min="4" max="4" width="15.6640625" bestFit="1" customWidth="1"/>
    <col min="5" max="5" width="13.21875" bestFit="1" customWidth="1"/>
    <col min="6" max="6" width="15.109375" bestFit="1" customWidth="1"/>
    <col min="7" max="8" width="13.5546875" bestFit="1" customWidth="1"/>
    <col min="9" max="9" width="14.5546875" bestFit="1" customWidth="1"/>
    <col min="10" max="10" width="13.6640625" bestFit="1" customWidth="1"/>
    <col min="11" max="11" width="12.5546875" bestFit="1" customWidth="1"/>
    <col min="12" max="12" width="13.21875" bestFit="1" customWidth="1"/>
    <col min="13" max="13" width="24.33203125" bestFit="1" customWidth="1"/>
    <col min="14" max="14" width="19.21875" bestFit="1" customWidth="1"/>
    <col min="15" max="15" width="13.21875" bestFit="1" customWidth="1"/>
    <col min="16" max="16" width="15.109375" bestFit="1" customWidth="1"/>
    <col min="17" max="18" width="13.5546875" bestFit="1" customWidth="1"/>
    <col min="19" max="19" width="14.5546875" bestFit="1" customWidth="1"/>
    <col min="20" max="20" width="13.6640625" bestFit="1" customWidth="1"/>
    <col min="21" max="21" width="12.5546875" bestFit="1" customWidth="1"/>
    <col min="22" max="22" width="13.21875" bestFit="1" customWidth="1"/>
  </cols>
  <sheetData>
    <row r="1" spans="1:14" x14ac:dyDescent="0.3">
      <c r="A1" t="s">
        <v>0</v>
      </c>
      <c r="B1" t="s">
        <v>1</v>
      </c>
      <c r="C1" t="s">
        <v>2</v>
      </c>
      <c r="D1" t="s">
        <v>3</v>
      </c>
      <c r="E1" t="s">
        <v>4</v>
      </c>
      <c r="F1" t="s">
        <v>5</v>
      </c>
      <c r="G1" t="s">
        <v>6</v>
      </c>
      <c r="H1" t="s">
        <v>7</v>
      </c>
      <c r="I1" t="s">
        <v>8</v>
      </c>
      <c r="J1" t="s">
        <v>215</v>
      </c>
      <c r="K1" t="s">
        <v>216</v>
      </c>
      <c r="L1" t="s">
        <v>217</v>
      </c>
      <c r="M1" t="s">
        <v>241</v>
      </c>
      <c r="N1" t="s">
        <v>242</v>
      </c>
    </row>
    <row r="2" spans="1:14" x14ac:dyDescent="0.3">
      <c r="A2" t="s">
        <v>9</v>
      </c>
      <c r="B2" s="1">
        <v>45686</v>
      </c>
      <c r="C2" t="s">
        <v>10</v>
      </c>
      <c r="D2">
        <v>16</v>
      </c>
      <c r="E2">
        <v>77</v>
      </c>
      <c r="F2">
        <v>0</v>
      </c>
      <c r="G2">
        <v>1</v>
      </c>
      <c r="H2">
        <v>2</v>
      </c>
      <c r="I2" t="s">
        <v>11</v>
      </c>
      <c r="J2" t="s">
        <v>218</v>
      </c>
      <c r="K2" s="11">
        <v>3</v>
      </c>
      <c r="L2" t="s">
        <v>219</v>
      </c>
      <c r="M2">
        <v>1</v>
      </c>
      <c r="N2" t="s">
        <v>243</v>
      </c>
    </row>
    <row r="3" spans="1:14" x14ac:dyDescent="0.3">
      <c r="A3" t="s">
        <v>12</v>
      </c>
      <c r="B3" s="1">
        <v>45673</v>
      </c>
      <c r="C3" t="s">
        <v>10</v>
      </c>
      <c r="D3">
        <v>10</v>
      </c>
      <c r="E3">
        <v>87</v>
      </c>
      <c r="F3">
        <v>0</v>
      </c>
      <c r="G3">
        <v>2</v>
      </c>
      <c r="H3">
        <v>5</v>
      </c>
      <c r="I3" t="s">
        <v>13</v>
      </c>
      <c r="J3" t="s">
        <v>218</v>
      </c>
      <c r="K3" s="11">
        <v>7</v>
      </c>
      <c r="L3" t="s">
        <v>220</v>
      </c>
      <c r="M3">
        <v>1</v>
      </c>
      <c r="N3" t="s">
        <v>243</v>
      </c>
    </row>
    <row r="4" spans="1:14" x14ac:dyDescent="0.3">
      <c r="A4" t="s">
        <v>14</v>
      </c>
      <c r="B4" s="1">
        <v>45712</v>
      </c>
      <c r="C4" t="s">
        <v>10</v>
      </c>
      <c r="D4">
        <v>11</v>
      </c>
      <c r="E4">
        <v>83</v>
      </c>
      <c r="F4">
        <v>2</v>
      </c>
      <c r="G4">
        <v>3</v>
      </c>
      <c r="H4">
        <v>4</v>
      </c>
      <c r="I4" t="s">
        <v>15</v>
      </c>
      <c r="J4" t="s">
        <v>221</v>
      </c>
      <c r="K4" s="11">
        <v>9</v>
      </c>
      <c r="L4" t="s">
        <v>220</v>
      </c>
      <c r="M4">
        <v>2</v>
      </c>
      <c r="N4" t="s">
        <v>244</v>
      </c>
    </row>
    <row r="5" spans="1:14" x14ac:dyDescent="0.3">
      <c r="A5" t="s">
        <v>16</v>
      </c>
      <c r="B5" s="1">
        <v>45706</v>
      </c>
      <c r="C5" t="s">
        <v>17</v>
      </c>
      <c r="D5">
        <v>13</v>
      </c>
      <c r="E5">
        <v>71</v>
      </c>
      <c r="F5">
        <v>2</v>
      </c>
      <c r="G5">
        <v>2</v>
      </c>
      <c r="H5">
        <v>8</v>
      </c>
      <c r="I5" t="s">
        <v>13</v>
      </c>
      <c r="J5" t="s">
        <v>221</v>
      </c>
      <c r="K5" s="11">
        <v>12</v>
      </c>
      <c r="L5" t="s">
        <v>219</v>
      </c>
      <c r="M5">
        <v>2</v>
      </c>
      <c r="N5" t="s">
        <v>244</v>
      </c>
    </row>
    <row r="6" spans="1:14" x14ac:dyDescent="0.3">
      <c r="A6" t="s">
        <v>18</v>
      </c>
      <c r="B6" s="1">
        <v>45708</v>
      </c>
      <c r="C6" t="s">
        <v>17</v>
      </c>
      <c r="D6">
        <v>15</v>
      </c>
      <c r="E6">
        <v>84</v>
      </c>
      <c r="F6">
        <v>2</v>
      </c>
      <c r="G6">
        <v>4</v>
      </c>
      <c r="H6">
        <v>3</v>
      </c>
      <c r="I6" t="s">
        <v>15</v>
      </c>
      <c r="J6" t="s">
        <v>221</v>
      </c>
      <c r="K6" s="11">
        <v>9</v>
      </c>
      <c r="L6" t="s">
        <v>220</v>
      </c>
      <c r="M6">
        <v>2</v>
      </c>
      <c r="N6" t="s">
        <v>244</v>
      </c>
    </row>
    <row r="7" spans="1:14" x14ac:dyDescent="0.3">
      <c r="A7" t="s">
        <v>19</v>
      </c>
      <c r="B7" s="1">
        <v>45709</v>
      </c>
      <c r="C7" t="s">
        <v>17</v>
      </c>
      <c r="D7">
        <v>9</v>
      </c>
      <c r="E7">
        <v>78</v>
      </c>
      <c r="F7">
        <v>1</v>
      </c>
      <c r="G7">
        <v>4</v>
      </c>
      <c r="H7">
        <v>3</v>
      </c>
      <c r="I7" t="s">
        <v>15</v>
      </c>
      <c r="J7" t="s">
        <v>221</v>
      </c>
      <c r="K7" s="11">
        <v>8</v>
      </c>
      <c r="L7" t="s">
        <v>219</v>
      </c>
      <c r="M7">
        <v>2</v>
      </c>
      <c r="N7" t="s">
        <v>244</v>
      </c>
    </row>
    <row r="8" spans="1:14" x14ac:dyDescent="0.3">
      <c r="A8" t="s">
        <v>20</v>
      </c>
      <c r="B8" s="1">
        <v>45700</v>
      </c>
      <c r="C8" t="s">
        <v>21</v>
      </c>
      <c r="D8">
        <v>6</v>
      </c>
      <c r="E8">
        <v>84</v>
      </c>
      <c r="F8">
        <v>2</v>
      </c>
      <c r="G8">
        <v>0</v>
      </c>
      <c r="H8">
        <v>8</v>
      </c>
      <c r="I8" t="s">
        <v>22</v>
      </c>
      <c r="J8" t="s">
        <v>221</v>
      </c>
      <c r="K8" s="11">
        <v>10</v>
      </c>
      <c r="L8" t="s">
        <v>220</v>
      </c>
      <c r="M8">
        <v>2</v>
      </c>
      <c r="N8" t="s">
        <v>244</v>
      </c>
    </row>
    <row r="9" spans="1:14" x14ac:dyDescent="0.3">
      <c r="A9" t="s">
        <v>23</v>
      </c>
      <c r="B9" s="1">
        <v>45709</v>
      </c>
      <c r="C9" t="s">
        <v>21</v>
      </c>
      <c r="D9">
        <v>18</v>
      </c>
      <c r="E9">
        <v>99</v>
      </c>
      <c r="F9">
        <v>2</v>
      </c>
      <c r="G9">
        <v>2</v>
      </c>
      <c r="H9">
        <v>0</v>
      </c>
      <c r="I9" t="s">
        <v>22</v>
      </c>
      <c r="J9" t="s">
        <v>221</v>
      </c>
      <c r="K9" s="11">
        <v>4</v>
      </c>
      <c r="L9" t="s">
        <v>220</v>
      </c>
      <c r="M9">
        <v>2</v>
      </c>
      <c r="N9" t="s">
        <v>244</v>
      </c>
    </row>
    <row r="10" spans="1:14" x14ac:dyDescent="0.3">
      <c r="A10" t="s">
        <v>24</v>
      </c>
      <c r="B10" s="1">
        <v>45741</v>
      </c>
      <c r="C10" t="s">
        <v>21</v>
      </c>
      <c r="D10">
        <v>11</v>
      </c>
      <c r="E10">
        <v>91</v>
      </c>
      <c r="F10">
        <v>0</v>
      </c>
      <c r="G10">
        <v>0</v>
      </c>
      <c r="H10">
        <v>2</v>
      </c>
      <c r="I10" t="s">
        <v>22</v>
      </c>
      <c r="J10" t="s">
        <v>222</v>
      </c>
      <c r="K10" s="11">
        <v>2</v>
      </c>
      <c r="L10" t="s">
        <v>220</v>
      </c>
      <c r="M10">
        <v>3</v>
      </c>
      <c r="N10" t="s">
        <v>245</v>
      </c>
    </row>
    <row r="11" spans="1:14" x14ac:dyDescent="0.3">
      <c r="A11" t="s">
        <v>25</v>
      </c>
      <c r="B11" s="1">
        <v>45700</v>
      </c>
      <c r="C11" t="s">
        <v>26</v>
      </c>
      <c r="D11">
        <v>14</v>
      </c>
      <c r="E11">
        <v>74</v>
      </c>
      <c r="F11">
        <v>1</v>
      </c>
      <c r="G11">
        <v>2</v>
      </c>
      <c r="H11">
        <v>6</v>
      </c>
      <c r="I11" t="s">
        <v>22</v>
      </c>
      <c r="J11" t="s">
        <v>221</v>
      </c>
      <c r="K11" s="11">
        <v>9</v>
      </c>
      <c r="L11" t="s">
        <v>219</v>
      </c>
      <c r="M11">
        <v>2</v>
      </c>
      <c r="N11" t="s">
        <v>244</v>
      </c>
    </row>
    <row r="12" spans="1:14" x14ac:dyDescent="0.3">
      <c r="A12" t="s">
        <v>27</v>
      </c>
      <c r="B12" s="1">
        <v>45659</v>
      </c>
      <c r="C12" t="s">
        <v>26</v>
      </c>
      <c r="D12">
        <v>19</v>
      </c>
      <c r="E12">
        <v>73</v>
      </c>
      <c r="F12">
        <v>1</v>
      </c>
      <c r="G12">
        <v>4</v>
      </c>
      <c r="H12">
        <v>7</v>
      </c>
      <c r="I12" t="s">
        <v>28</v>
      </c>
      <c r="J12" t="s">
        <v>218</v>
      </c>
      <c r="K12" s="11">
        <v>12</v>
      </c>
      <c r="L12" t="s">
        <v>219</v>
      </c>
      <c r="M12">
        <v>1</v>
      </c>
      <c r="N12" t="s">
        <v>243</v>
      </c>
    </row>
    <row r="13" spans="1:14" x14ac:dyDescent="0.3">
      <c r="A13" t="s">
        <v>29</v>
      </c>
      <c r="B13" s="1">
        <v>45735</v>
      </c>
      <c r="C13" t="s">
        <v>26</v>
      </c>
      <c r="D13">
        <v>12</v>
      </c>
      <c r="E13">
        <v>88</v>
      </c>
      <c r="F13">
        <v>2</v>
      </c>
      <c r="G13">
        <v>1</v>
      </c>
      <c r="H13">
        <v>3</v>
      </c>
      <c r="I13" t="s">
        <v>28</v>
      </c>
      <c r="J13" t="s">
        <v>222</v>
      </c>
      <c r="K13" s="11">
        <v>6</v>
      </c>
      <c r="L13" t="s">
        <v>220</v>
      </c>
      <c r="M13">
        <v>3</v>
      </c>
      <c r="N13" t="s">
        <v>245</v>
      </c>
    </row>
    <row r="14" spans="1:14" x14ac:dyDescent="0.3">
      <c r="A14" t="s">
        <v>30</v>
      </c>
      <c r="B14" s="1">
        <v>45728</v>
      </c>
      <c r="C14" t="s">
        <v>31</v>
      </c>
      <c r="D14">
        <v>15</v>
      </c>
      <c r="E14">
        <v>99</v>
      </c>
      <c r="F14">
        <v>1</v>
      </c>
      <c r="G14">
        <v>3</v>
      </c>
      <c r="H14">
        <v>1</v>
      </c>
      <c r="I14" t="s">
        <v>15</v>
      </c>
      <c r="J14" t="s">
        <v>222</v>
      </c>
      <c r="K14" s="11">
        <v>5</v>
      </c>
      <c r="L14" t="s">
        <v>220</v>
      </c>
      <c r="M14">
        <v>3</v>
      </c>
      <c r="N14" t="s">
        <v>245</v>
      </c>
    </row>
    <row r="15" spans="1:14" x14ac:dyDescent="0.3">
      <c r="A15" t="s">
        <v>32</v>
      </c>
      <c r="B15" s="1">
        <v>45726</v>
      </c>
      <c r="C15" t="s">
        <v>31</v>
      </c>
      <c r="D15">
        <v>16</v>
      </c>
      <c r="E15">
        <v>84</v>
      </c>
      <c r="F15">
        <v>1</v>
      </c>
      <c r="G15">
        <v>0</v>
      </c>
      <c r="H15">
        <v>4</v>
      </c>
      <c r="I15" t="s">
        <v>11</v>
      </c>
      <c r="J15" t="s">
        <v>222</v>
      </c>
      <c r="K15" s="11">
        <v>5</v>
      </c>
      <c r="L15" t="s">
        <v>220</v>
      </c>
      <c r="M15">
        <v>3</v>
      </c>
      <c r="N15" t="s">
        <v>245</v>
      </c>
    </row>
    <row r="16" spans="1:14" x14ac:dyDescent="0.3">
      <c r="A16" t="s">
        <v>33</v>
      </c>
      <c r="B16" s="1">
        <v>45700</v>
      </c>
      <c r="C16" t="s">
        <v>31</v>
      </c>
      <c r="D16">
        <v>7</v>
      </c>
      <c r="E16">
        <v>78</v>
      </c>
      <c r="F16">
        <v>0</v>
      </c>
      <c r="G16">
        <v>0</v>
      </c>
      <c r="H16">
        <v>5</v>
      </c>
      <c r="I16" t="s">
        <v>34</v>
      </c>
      <c r="J16" t="s">
        <v>221</v>
      </c>
      <c r="K16" s="11">
        <v>5</v>
      </c>
      <c r="L16" t="s">
        <v>219</v>
      </c>
      <c r="M16">
        <v>2</v>
      </c>
      <c r="N16" t="s">
        <v>244</v>
      </c>
    </row>
    <row r="17" spans="1:14" x14ac:dyDescent="0.3">
      <c r="A17" t="s">
        <v>35</v>
      </c>
      <c r="B17" s="1">
        <v>45709</v>
      </c>
      <c r="C17" t="s">
        <v>36</v>
      </c>
      <c r="D17">
        <v>8</v>
      </c>
      <c r="E17">
        <v>92</v>
      </c>
      <c r="F17">
        <v>0</v>
      </c>
      <c r="G17">
        <v>3</v>
      </c>
      <c r="H17">
        <v>3</v>
      </c>
      <c r="I17" t="s">
        <v>11</v>
      </c>
      <c r="J17" t="s">
        <v>221</v>
      </c>
      <c r="K17" s="11">
        <v>6</v>
      </c>
      <c r="L17" t="s">
        <v>220</v>
      </c>
      <c r="M17">
        <v>2</v>
      </c>
      <c r="N17" t="s">
        <v>244</v>
      </c>
    </row>
    <row r="18" spans="1:14" x14ac:dyDescent="0.3">
      <c r="A18" t="s">
        <v>37</v>
      </c>
      <c r="B18" s="1">
        <v>45681</v>
      </c>
      <c r="C18" t="s">
        <v>36</v>
      </c>
      <c r="D18">
        <v>19</v>
      </c>
      <c r="E18">
        <v>77</v>
      </c>
      <c r="F18">
        <v>0</v>
      </c>
      <c r="G18">
        <v>2</v>
      </c>
      <c r="H18">
        <v>4</v>
      </c>
      <c r="I18" t="s">
        <v>13</v>
      </c>
      <c r="J18" t="s">
        <v>218</v>
      </c>
      <c r="K18" s="11">
        <v>6</v>
      </c>
      <c r="L18" t="s">
        <v>219</v>
      </c>
      <c r="M18">
        <v>1</v>
      </c>
      <c r="N18" t="s">
        <v>243</v>
      </c>
    </row>
    <row r="19" spans="1:14" x14ac:dyDescent="0.3">
      <c r="A19" t="s">
        <v>38</v>
      </c>
      <c r="B19" s="1">
        <v>45676</v>
      </c>
      <c r="C19" t="s">
        <v>36</v>
      </c>
      <c r="D19">
        <v>13</v>
      </c>
      <c r="E19">
        <v>99</v>
      </c>
      <c r="F19">
        <v>2</v>
      </c>
      <c r="G19">
        <v>0</v>
      </c>
      <c r="H19">
        <v>7</v>
      </c>
      <c r="I19" t="s">
        <v>13</v>
      </c>
      <c r="J19" t="s">
        <v>218</v>
      </c>
      <c r="K19" s="11">
        <v>9</v>
      </c>
      <c r="L19" t="s">
        <v>220</v>
      </c>
      <c r="M19">
        <v>1</v>
      </c>
      <c r="N19" t="s">
        <v>243</v>
      </c>
    </row>
    <row r="20" spans="1:14" x14ac:dyDescent="0.3">
      <c r="A20" t="s">
        <v>39</v>
      </c>
      <c r="B20" s="1">
        <v>45705</v>
      </c>
      <c r="C20" t="s">
        <v>40</v>
      </c>
      <c r="D20">
        <v>17</v>
      </c>
      <c r="E20">
        <v>73</v>
      </c>
      <c r="F20">
        <v>1</v>
      </c>
      <c r="G20">
        <v>4</v>
      </c>
      <c r="H20">
        <v>0</v>
      </c>
      <c r="I20" t="s">
        <v>28</v>
      </c>
      <c r="J20" t="s">
        <v>221</v>
      </c>
      <c r="K20" s="11">
        <v>5</v>
      </c>
      <c r="L20" t="s">
        <v>219</v>
      </c>
      <c r="M20">
        <v>2</v>
      </c>
      <c r="N20" t="s">
        <v>244</v>
      </c>
    </row>
    <row r="21" spans="1:14" x14ac:dyDescent="0.3">
      <c r="A21" t="s">
        <v>41</v>
      </c>
      <c r="B21" s="1">
        <v>45672</v>
      </c>
      <c r="C21" t="s">
        <v>40</v>
      </c>
      <c r="D21">
        <v>5</v>
      </c>
      <c r="E21">
        <v>100</v>
      </c>
      <c r="F21">
        <v>1</v>
      </c>
      <c r="G21">
        <v>1</v>
      </c>
      <c r="H21">
        <v>6</v>
      </c>
      <c r="I21" t="s">
        <v>15</v>
      </c>
      <c r="J21" t="s">
        <v>218</v>
      </c>
      <c r="K21" s="11">
        <v>8</v>
      </c>
      <c r="L21" t="s">
        <v>220</v>
      </c>
      <c r="M21">
        <v>1</v>
      </c>
      <c r="N21" t="s">
        <v>243</v>
      </c>
    </row>
    <row r="22" spans="1:14" x14ac:dyDescent="0.3">
      <c r="A22" t="s">
        <v>42</v>
      </c>
      <c r="B22" s="1">
        <v>45679</v>
      </c>
      <c r="C22" t="s">
        <v>40</v>
      </c>
      <c r="D22">
        <v>18</v>
      </c>
      <c r="E22">
        <v>85</v>
      </c>
      <c r="F22">
        <v>2</v>
      </c>
      <c r="G22">
        <v>2</v>
      </c>
      <c r="H22">
        <v>7</v>
      </c>
      <c r="I22" t="s">
        <v>43</v>
      </c>
      <c r="J22" t="s">
        <v>218</v>
      </c>
      <c r="K22" s="11">
        <v>11</v>
      </c>
      <c r="L22" t="s">
        <v>220</v>
      </c>
      <c r="M22">
        <v>1</v>
      </c>
      <c r="N22" t="s">
        <v>243</v>
      </c>
    </row>
    <row r="23" spans="1:14" x14ac:dyDescent="0.3">
      <c r="A23" t="s">
        <v>44</v>
      </c>
      <c r="B23" s="1">
        <v>45719</v>
      </c>
      <c r="C23" t="s">
        <v>45</v>
      </c>
      <c r="D23">
        <v>5</v>
      </c>
      <c r="E23">
        <v>74</v>
      </c>
      <c r="F23">
        <v>2</v>
      </c>
      <c r="G23">
        <v>2</v>
      </c>
      <c r="H23">
        <v>2</v>
      </c>
      <c r="I23" t="s">
        <v>46</v>
      </c>
      <c r="J23" t="s">
        <v>222</v>
      </c>
      <c r="K23" s="11">
        <v>6</v>
      </c>
      <c r="L23" t="s">
        <v>219</v>
      </c>
      <c r="M23">
        <v>3</v>
      </c>
      <c r="N23" t="s">
        <v>245</v>
      </c>
    </row>
    <row r="24" spans="1:14" x14ac:dyDescent="0.3">
      <c r="A24" t="s">
        <v>47</v>
      </c>
      <c r="B24" s="1">
        <v>45686</v>
      </c>
      <c r="C24" t="s">
        <v>45</v>
      </c>
      <c r="D24">
        <v>5</v>
      </c>
      <c r="E24">
        <v>91</v>
      </c>
      <c r="F24">
        <v>1</v>
      </c>
      <c r="G24">
        <v>1</v>
      </c>
      <c r="H24">
        <v>3</v>
      </c>
      <c r="I24" t="s">
        <v>43</v>
      </c>
      <c r="J24" t="s">
        <v>218</v>
      </c>
      <c r="K24" s="11">
        <v>5</v>
      </c>
      <c r="L24" t="s">
        <v>220</v>
      </c>
      <c r="M24">
        <v>1</v>
      </c>
      <c r="N24" t="s">
        <v>243</v>
      </c>
    </row>
    <row r="25" spans="1:14" x14ac:dyDescent="0.3">
      <c r="A25" t="s">
        <v>48</v>
      </c>
      <c r="B25" s="1">
        <v>45743</v>
      </c>
      <c r="C25" t="s">
        <v>45</v>
      </c>
      <c r="D25">
        <v>10</v>
      </c>
      <c r="E25">
        <v>72</v>
      </c>
      <c r="F25">
        <v>2</v>
      </c>
      <c r="G25">
        <v>0</v>
      </c>
      <c r="H25">
        <v>5</v>
      </c>
      <c r="I25" t="s">
        <v>15</v>
      </c>
      <c r="J25" t="s">
        <v>222</v>
      </c>
      <c r="K25" s="11">
        <v>7</v>
      </c>
      <c r="L25" t="s">
        <v>219</v>
      </c>
      <c r="M25">
        <v>3</v>
      </c>
      <c r="N25" t="s">
        <v>245</v>
      </c>
    </row>
    <row r="26" spans="1:14" x14ac:dyDescent="0.3">
      <c r="A26" t="s">
        <v>49</v>
      </c>
      <c r="B26" s="1">
        <v>45686</v>
      </c>
      <c r="C26" t="s">
        <v>50</v>
      </c>
      <c r="D26">
        <v>14</v>
      </c>
      <c r="E26">
        <v>82</v>
      </c>
      <c r="F26">
        <v>0</v>
      </c>
      <c r="G26">
        <v>1</v>
      </c>
      <c r="H26">
        <v>4</v>
      </c>
      <c r="I26" t="s">
        <v>28</v>
      </c>
      <c r="J26" t="s">
        <v>218</v>
      </c>
      <c r="K26" s="11">
        <v>5</v>
      </c>
      <c r="L26" t="s">
        <v>220</v>
      </c>
      <c r="M26">
        <v>1</v>
      </c>
      <c r="N26" t="s">
        <v>243</v>
      </c>
    </row>
    <row r="27" spans="1:14" x14ac:dyDescent="0.3">
      <c r="A27" t="s">
        <v>51</v>
      </c>
      <c r="B27" s="1">
        <v>45715</v>
      </c>
      <c r="C27" t="s">
        <v>50</v>
      </c>
      <c r="D27">
        <v>19</v>
      </c>
      <c r="E27">
        <v>81</v>
      </c>
      <c r="F27">
        <v>1</v>
      </c>
      <c r="G27">
        <v>2</v>
      </c>
      <c r="H27">
        <v>5</v>
      </c>
      <c r="I27" t="s">
        <v>43</v>
      </c>
      <c r="J27" t="s">
        <v>221</v>
      </c>
      <c r="K27" s="11">
        <v>8</v>
      </c>
      <c r="L27" t="s">
        <v>220</v>
      </c>
      <c r="M27">
        <v>2</v>
      </c>
      <c r="N27" t="s">
        <v>244</v>
      </c>
    </row>
    <row r="28" spans="1:14" x14ac:dyDescent="0.3">
      <c r="A28" t="s">
        <v>52</v>
      </c>
      <c r="B28" s="1">
        <v>45711</v>
      </c>
      <c r="C28" t="s">
        <v>50</v>
      </c>
      <c r="D28">
        <v>14</v>
      </c>
      <c r="E28">
        <v>72</v>
      </c>
      <c r="F28">
        <v>0</v>
      </c>
      <c r="G28">
        <v>3</v>
      </c>
      <c r="H28">
        <v>0</v>
      </c>
      <c r="I28" t="s">
        <v>28</v>
      </c>
      <c r="J28" t="s">
        <v>221</v>
      </c>
      <c r="K28" s="11">
        <v>3</v>
      </c>
      <c r="L28" t="s">
        <v>219</v>
      </c>
      <c r="M28">
        <v>2</v>
      </c>
      <c r="N28" t="s">
        <v>244</v>
      </c>
    </row>
    <row r="29" spans="1:14" x14ac:dyDescent="0.3">
      <c r="A29" t="s">
        <v>53</v>
      </c>
      <c r="B29" s="1">
        <v>45662</v>
      </c>
      <c r="C29" t="s">
        <v>54</v>
      </c>
      <c r="D29">
        <v>15</v>
      </c>
      <c r="E29">
        <v>94</v>
      </c>
      <c r="F29">
        <v>2</v>
      </c>
      <c r="G29">
        <v>3</v>
      </c>
      <c r="H29">
        <v>3</v>
      </c>
      <c r="I29" t="s">
        <v>46</v>
      </c>
      <c r="J29" t="s">
        <v>218</v>
      </c>
      <c r="K29" s="11">
        <v>8</v>
      </c>
      <c r="L29" t="s">
        <v>220</v>
      </c>
      <c r="M29">
        <v>1</v>
      </c>
      <c r="N29" t="s">
        <v>243</v>
      </c>
    </row>
    <row r="30" spans="1:14" x14ac:dyDescent="0.3">
      <c r="A30" t="s">
        <v>55</v>
      </c>
      <c r="B30" s="1">
        <v>45740</v>
      </c>
      <c r="C30" t="s">
        <v>54</v>
      </c>
      <c r="D30">
        <v>12</v>
      </c>
      <c r="E30">
        <v>90</v>
      </c>
      <c r="F30">
        <v>2</v>
      </c>
      <c r="G30">
        <v>0</v>
      </c>
      <c r="H30">
        <v>0</v>
      </c>
      <c r="I30" t="s">
        <v>46</v>
      </c>
      <c r="J30" t="s">
        <v>222</v>
      </c>
      <c r="K30" s="11">
        <v>2</v>
      </c>
      <c r="L30" t="s">
        <v>220</v>
      </c>
      <c r="M30">
        <v>3</v>
      </c>
      <c r="N30" t="s">
        <v>245</v>
      </c>
    </row>
    <row r="31" spans="1:14" x14ac:dyDescent="0.3">
      <c r="A31" t="s">
        <v>56</v>
      </c>
      <c r="B31" s="1">
        <v>45714</v>
      </c>
      <c r="C31" t="s">
        <v>54</v>
      </c>
      <c r="D31">
        <v>16</v>
      </c>
      <c r="E31">
        <v>72</v>
      </c>
      <c r="F31">
        <v>2</v>
      </c>
      <c r="G31">
        <v>1</v>
      </c>
      <c r="H31">
        <v>3</v>
      </c>
      <c r="I31" t="s">
        <v>43</v>
      </c>
      <c r="J31" t="s">
        <v>221</v>
      </c>
      <c r="K31" s="11">
        <v>6</v>
      </c>
      <c r="L31" t="s">
        <v>219</v>
      </c>
      <c r="M31">
        <v>2</v>
      </c>
      <c r="N31" t="s">
        <v>244</v>
      </c>
    </row>
    <row r="32" spans="1:14" x14ac:dyDescent="0.3">
      <c r="A32" t="s">
        <v>57</v>
      </c>
      <c r="B32" s="1">
        <v>45687</v>
      </c>
      <c r="C32" t="s">
        <v>58</v>
      </c>
      <c r="D32">
        <v>20</v>
      </c>
      <c r="E32">
        <v>78</v>
      </c>
      <c r="F32">
        <v>0</v>
      </c>
      <c r="G32">
        <v>0</v>
      </c>
      <c r="H32">
        <v>7</v>
      </c>
      <c r="I32" t="s">
        <v>46</v>
      </c>
      <c r="J32" t="s">
        <v>218</v>
      </c>
      <c r="K32" s="11">
        <v>7</v>
      </c>
      <c r="L32" t="s">
        <v>219</v>
      </c>
      <c r="M32">
        <v>1</v>
      </c>
      <c r="N32" t="s">
        <v>243</v>
      </c>
    </row>
    <row r="33" spans="1:14" x14ac:dyDescent="0.3">
      <c r="A33" t="s">
        <v>59</v>
      </c>
      <c r="B33" s="1">
        <v>45731</v>
      </c>
      <c r="C33" t="s">
        <v>58</v>
      </c>
      <c r="D33">
        <v>14</v>
      </c>
      <c r="E33">
        <v>81</v>
      </c>
      <c r="F33">
        <v>1</v>
      </c>
      <c r="G33">
        <v>4</v>
      </c>
      <c r="H33">
        <v>1</v>
      </c>
      <c r="I33" t="s">
        <v>13</v>
      </c>
      <c r="J33" t="s">
        <v>222</v>
      </c>
      <c r="K33" s="11">
        <v>6</v>
      </c>
      <c r="L33" t="s">
        <v>220</v>
      </c>
      <c r="M33">
        <v>3</v>
      </c>
      <c r="N33" t="s">
        <v>245</v>
      </c>
    </row>
    <row r="34" spans="1:14" x14ac:dyDescent="0.3">
      <c r="A34" t="s">
        <v>60</v>
      </c>
      <c r="B34" s="1">
        <v>45680</v>
      </c>
      <c r="C34" t="s">
        <v>58</v>
      </c>
      <c r="D34">
        <v>12</v>
      </c>
      <c r="E34">
        <v>77</v>
      </c>
      <c r="F34">
        <v>1</v>
      </c>
      <c r="G34">
        <v>1</v>
      </c>
      <c r="H34">
        <v>1</v>
      </c>
      <c r="I34" t="s">
        <v>43</v>
      </c>
      <c r="J34" t="s">
        <v>218</v>
      </c>
      <c r="K34" s="11">
        <v>3</v>
      </c>
      <c r="L34" t="s">
        <v>219</v>
      </c>
      <c r="M34">
        <v>1</v>
      </c>
      <c r="N34" t="s">
        <v>243</v>
      </c>
    </row>
    <row r="35" spans="1:14" x14ac:dyDescent="0.3">
      <c r="A35" t="s">
        <v>61</v>
      </c>
      <c r="B35" s="1">
        <v>45716</v>
      </c>
      <c r="C35" t="s">
        <v>62</v>
      </c>
      <c r="D35">
        <v>19</v>
      </c>
      <c r="E35">
        <v>86</v>
      </c>
      <c r="F35">
        <v>0</v>
      </c>
      <c r="G35">
        <v>3</v>
      </c>
      <c r="H35">
        <v>1</v>
      </c>
      <c r="I35" t="s">
        <v>28</v>
      </c>
      <c r="J35" t="s">
        <v>221</v>
      </c>
      <c r="K35" s="11">
        <v>4</v>
      </c>
      <c r="L35" t="s">
        <v>220</v>
      </c>
      <c r="M35">
        <v>2</v>
      </c>
      <c r="N35" t="s">
        <v>244</v>
      </c>
    </row>
    <row r="36" spans="1:14" x14ac:dyDescent="0.3">
      <c r="A36" t="s">
        <v>63</v>
      </c>
      <c r="B36" s="1">
        <v>45738</v>
      </c>
      <c r="C36" t="s">
        <v>62</v>
      </c>
      <c r="D36">
        <v>20</v>
      </c>
      <c r="E36">
        <v>70</v>
      </c>
      <c r="F36">
        <v>0</v>
      </c>
      <c r="G36">
        <v>3</v>
      </c>
      <c r="H36">
        <v>7</v>
      </c>
      <c r="I36" t="s">
        <v>13</v>
      </c>
      <c r="J36" t="s">
        <v>222</v>
      </c>
      <c r="K36" s="11">
        <v>10</v>
      </c>
      <c r="L36" t="s">
        <v>219</v>
      </c>
      <c r="M36">
        <v>3</v>
      </c>
      <c r="N36" t="s">
        <v>245</v>
      </c>
    </row>
    <row r="37" spans="1:14" x14ac:dyDescent="0.3">
      <c r="A37" t="s">
        <v>64</v>
      </c>
      <c r="B37" s="1">
        <v>45677</v>
      </c>
      <c r="C37" t="s">
        <v>62</v>
      </c>
      <c r="D37">
        <v>10</v>
      </c>
      <c r="E37">
        <v>75</v>
      </c>
      <c r="F37">
        <v>2</v>
      </c>
      <c r="G37">
        <v>4</v>
      </c>
      <c r="H37">
        <v>8</v>
      </c>
      <c r="I37" t="s">
        <v>13</v>
      </c>
      <c r="J37" t="s">
        <v>218</v>
      </c>
      <c r="K37" s="11">
        <v>14</v>
      </c>
      <c r="L37" t="s">
        <v>219</v>
      </c>
      <c r="M37">
        <v>1</v>
      </c>
      <c r="N37" t="s">
        <v>243</v>
      </c>
    </row>
    <row r="38" spans="1:14" x14ac:dyDescent="0.3">
      <c r="A38" t="s">
        <v>65</v>
      </c>
      <c r="B38" s="1">
        <v>45662</v>
      </c>
      <c r="C38" t="s">
        <v>66</v>
      </c>
      <c r="D38">
        <v>5</v>
      </c>
      <c r="E38">
        <v>89</v>
      </c>
      <c r="F38">
        <v>2</v>
      </c>
      <c r="G38">
        <v>2</v>
      </c>
      <c r="H38">
        <v>3</v>
      </c>
      <c r="I38" t="s">
        <v>28</v>
      </c>
      <c r="J38" t="s">
        <v>218</v>
      </c>
      <c r="K38" s="11">
        <v>7</v>
      </c>
      <c r="L38" t="s">
        <v>220</v>
      </c>
      <c r="M38">
        <v>1</v>
      </c>
      <c r="N38" t="s">
        <v>243</v>
      </c>
    </row>
    <row r="39" spans="1:14" x14ac:dyDescent="0.3">
      <c r="A39" t="s">
        <v>67</v>
      </c>
      <c r="B39" s="1">
        <v>45717</v>
      </c>
      <c r="C39" t="s">
        <v>66</v>
      </c>
      <c r="D39">
        <v>17</v>
      </c>
      <c r="E39">
        <v>99</v>
      </c>
      <c r="F39">
        <v>0</v>
      </c>
      <c r="G39">
        <v>1</v>
      </c>
      <c r="H39">
        <v>8</v>
      </c>
      <c r="I39" t="s">
        <v>15</v>
      </c>
      <c r="J39" t="s">
        <v>222</v>
      </c>
      <c r="K39" s="11">
        <v>9</v>
      </c>
      <c r="L39" t="s">
        <v>220</v>
      </c>
      <c r="M39">
        <v>3</v>
      </c>
      <c r="N39" t="s">
        <v>245</v>
      </c>
    </row>
    <row r="40" spans="1:14" x14ac:dyDescent="0.3">
      <c r="A40" t="s">
        <v>68</v>
      </c>
      <c r="B40" s="1">
        <v>45670</v>
      </c>
      <c r="C40" t="s">
        <v>66</v>
      </c>
      <c r="D40">
        <v>7</v>
      </c>
      <c r="E40">
        <v>79</v>
      </c>
      <c r="F40">
        <v>0</v>
      </c>
      <c r="G40">
        <v>3</v>
      </c>
      <c r="H40">
        <v>0</v>
      </c>
      <c r="I40" t="s">
        <v>11</v>
      </c>
      <c r="J40" t="s">
        <v>218</v>
      </c>
      <c r="K40" s="11">
        <v>3</v>
      </c>
      <c r="L40" t="s">
        <v>219</v>
      </c>
      <c r="M40">
        <v>1</v>
      </c>
      <c r="N40" t="s">
        <v>243</v>
      </c>
    </row>
    <row r="41" spans="1:14" x14ac:dyDescent="0.3">
      <c r="A41" t="s">
        <v>69</v>
      </c>
      <c r="B41" s="1">
        <v>45663</v>
      </c>
      <c r="C41" t="s">
        <v>70</v>
      </c>
      <c r="D41">
        <v>12</v>
      </c>
      <c r="E41">
        <v>83</v>
      </c>
      <c r="F41">
        <v>0</v>
      </c>
      <c r="G41">
        <v>1</v>
      </c>
      <c r="H41">
        <v>0</v>
      </c>
      <c r="I41" t="s">
        <v>34</v>
      </c>
      <c r="J41" t="s">
        <v>218</v>
      </c>
      <c r="K41" s="11">
        <v>1</v>
      </c>
      <c r="L41" t="s">
        <v>220</v>
      </c>
      <c r="M41">
        <v>1</v>
      </c>
      <c r="N41" t="s">
        <v>243</v>
      </c>
    </row>
    <row r="42" spans="1:14" x14ac:dyDescent="0.3">
      <c r="A42" t="s">
        <v>71</v>
      </c>
      <c r="B42" s="1">
        <v>45734</v>
      </c>
      <c r="C42" t="s">
        <v>70</v>
      </c>
      <c r="D42">
        <v>8</v>
      </c>
      <c r="E42">
        <v>82</v>
      </c>
      <c r="F42">
        <v>2</v>
      </c>
      <c r="G42">
        <v>2</v>
      </c>
      <c r="H42">
        <v>8</v>
      </c>
      <c r="I42" t="s">
        <v>46</v>
      </c>
      <c r="J42" t="s">
        <v>222</v>
      </c>
      <c r="K42" s="11">
        <v>12</v>
      </c>
      <c r="L42" t="s">
        <v>220</v>
      </c>
      <c r="M42">
        <v>3</v>
      </c>
      <c r="N42" t="s">
        <v>245</v>
      </c>
    </row>
    <row r="43" spans="1:14" x14ac:dyDescent="0.3">
      <c r="A43" t="s">
        <v>72</v>
      </c>
      <c r="B43" s="1">
        <v>45708</v>
      </c>
      <c r="C43" t="s">
        <v>70</v>
      </c>
      <c r="D43">
        <v>5</v>
      </c>
      <c r="E43">
        <v>92</v>
      </c>
      <c r="F43">
        <v>1</v>
      </c>
      <c r="G43">
        <v>2</v>
      </c>
      <c r="H43">
        <v>1</v>
      </c>
      <c r="I43" t="s">
        <v>13</v>
      </c>
      <c r="J43" t="s">
        <v>221</v>
      </c>
      <c r="K43" s="11">
        <v>4</v>
      </c>
      <c r="L43" t="s">
        <v>220</v>
      </c>
      <c r="M43">
        <v>2</v>
      </c>
      <c r="N43" t="s">
        <v>244</v>
      </c>
    </row>
    <row r="44" spans="1:14" x14ac:dyDescent="0.3">
      <c r="A44" t="s">
        <v>73</v>
      </c>
      <c r="B44" s="1">
        <v>45742</v>
      </c>
      <c r="C44" t="s">
        <v>74</v>
      </c>
      <c r="D44">
        <v>7</v>
      </c>
      <c r="E44">
        <v>91</v>
      </c>
      <c r="F44">
        <v>0</v>
      </c>
      <c r="G44">
        <v>2</v>
      </c>
      <c r="H44">
        <v>1</v>
      </c>
      <c r="I44" t="s">
        <v>13</v>
      </c>
      <c r="J44" t="s">
        <v>222</v>
      </c>
      <c r="K44" s="11">
        <v>3</v>
      </c>
      <c r="L44" t="s">
        <v>220</v>
      </c>
      <c r="M44">
        <v>3</v>
      </c>
      <c r="N44" t="s">
        <v>245</v>
      </c>
    </row>
    <row r="45" spans="1:14" x14ac:dyDescent="0.3">
      <c r="A45" t="s">
        <v>75</v>
      </c>
      <c r="B45" s="1">
        <v>45743</v>
      </c>
      <c r="C45" t="s">
        <v>74</v>
      </c>
      <c r="D45">
        <v>20</v>
      </c>
      <c r="E45">
        <v>75</v>
      </c>
      <c r="F45">
        <v>1</v>
      </c>
      <c r="G45">
        <v>4</v>
      </c>
      <c r="H45">
        <v>2</v>
      </c>
      <c r="I45" t="s">
        <v>46</v>
      </c>
      <c r="J45" t="s">
        <v>222</v>
      </c>
      <c r="K45" s="11">
        <v>7</v>
      </c>
      <c r="L45" t="s">
        <v>219</v>
      </c>
      <c r="M45">
        <v>3</v>
      </c>
      <c r="N45" t="s">
        <v>245</v>
      </c>
    </row>
    <row r="46" spans="1:14" x14ac:dyDescent="0.3">
      <c r="A46" t="s">
        <v>76</v>
      </c>
      <c r="B46" s="1">
        <v>45662</v>
      </c>
      <c r="C46" t="s">
        <v>74</v>
      </c>
      <c r="D46">
        <v>13</v>
      </c>
      <c r="E46">
        <v>84</v>
      </c>
      <c r="F46">
        <v>1</v>
      </c>
      <c r="G46">
        <v>1</v>
      </c>
      <c r="H46">
        <v>6</v>
      </c>
      <c r="I46" t="s">
        <v>34</v>
      </c>
      <c r="J46" t="s">
        <v>218</v>
      </c>
      <c r="K46" s="11">
        <v>8</v>
      </c>
      <c r="L46" t="s">
        <v>220</v>
      </c>
      <c r="M46">
        <v>1</v>
      </c>
      <c r="N46" t="s">
        <v>243</v>
      </c>
    </row>
    <row r="47" spans="1:14" x14ac:dyDescent="0.3">
      <c r="A47" t="s">
        <v>77</v>
      </c>
      <c r="B47" s="1">
        <v>45734</v>
      </c>
      <c r="C47" t="s">
        <v>78</v>
      </c>
      <c r="D47">
        <v>18</v>
      </c>
      <c r="E47">
        <v>87</v>
      </c>
      <c r="F47">
        <v>2</v>
      </c>
      <c r="G47">
        <v>4</v>
      </c>
      <c r="H47">
        <v>8</v>
      </c>
      <c r="I47" t="s">
        <v>15</v>
      </c>
      <c r="J47" t="s">
        <v>222</v>
      </c>
      <c r="K47" s="11">
        <v>14</v>
      </c>
      <c r="L47" t="s">
        <v>220</v>
      </c>
      <c r="M47">
        <v>3</v>
      </c>
      <c r="N47" t="s">
        <v>245</v>
      </c>
    </row>
    <row r="48" spans="1:14" x14ac:dyDescent="0.3">
      <c r="A48" t="s">
        <v>79</v>
      </c>
      <c r="B48" s="1">
        <v>45683</v>
      </c>
      <c r="C48" t="s">
        <v>78</v>
      </c>
      <c r="D48">
        <v>10</v>
      </c>
      <c r="E48">
        <v>81</v>
      </c>
      <c r="F48">
        <v>2</v>
      </c>
      <c r="G48">
        <v>1</v>
      </c>
      <c r="H48">
        <v>0</v>
      </c>
      <c r="I48" t="s">
        <v>13</v>
      </c>
      <c r="J48" t="s">
        <v>218</v>
      </c>
      <c r="K48" s="11">
        <v>3</v>
      </c>
      <c r="L48" t="s">
        <v>220</v>
      </c>
      <c r="M48">
        <v>1</v>
      </c>
      <c r="N48" t="s">
        <v>243</v>
      </c>
    </row>
    <row r="49" spans="1:14" x14ac:dyDescent="0.3">
      <c r="A49" t="s">
        <v>80</v>
      </c>
      <c r="B49" s="1">
        <v>45731</v>
      </c>
      <c r="C49" t="s">
        <v>78</v>
      </c>
      <c r="D49">
        <v>11</v>
      </c>
      <c r="E49">
        <v>70</v>
      </c>
      <c r="F49">
        <v>2</v>
      </c>
      <c r="G49">
        <v>3</v>
      </c>
      <c r="H49">
        <v>6</v>
      </c>
      <c r="I49" t="s">
        <v>46</v>
      </c>
      <c r="J49" t="s">
        <v>222</v>
      </c>
      <c r="K49" s="11">
        <v>11</v>
      </c>
      <c r="L49" t="s">
        <v>219</v>
      </c>
      <c r="M49">
        <v>3</v>
      </c>
      <c r="N49" t="s">
        <v>245</v>
      </c>
    </row>
    <row r="50" spans="1:14" x14ac:dyDescent="0.3">
      <c r="A50" t="s">
        <v>81</v>
      </c>
      <c r="B50" s="1">
        <v>45708</v>
      </c>
      <c r="C50" t="s">
        <v>82</v>
      </c>
      <c r="D50">
        <v>13</v>
      </c>
      <c r="E50">
        <v>81</v>
      </c>
      <c r="F50">
        <v>1</v>
      </c>
      <c r="G50">
        <v>0</v>
      </c>
      <c r="H50">
        <v>2</v>
      </c>
      <c r="I50" t="s">
        <v>15</v>
      </c>
      <c r="J50" t="s">
        <v>221</v>
      </c>
      <c r="K50" s="11">
        <v>3</v>
      </c>
      <c r="L50" t="s">
        <v>220</v>
      </c>
      <c r="M50">
        <v>2</v>
      </c>
      <c r="N50" t="s">
        <v>244</v>
      </c>
    </row>
    <row r="51" spans="1:14" x14ac:dyDescent="0.3">
      <c r="A51" t="s">
        <v>83</v>
      </c>
      <c r="B51" s="1">
        <v>45720</v>
      </c>
      <c r="C51" t="s">
        <v>82</v>
      </c>
      <c r="D51">
        <v>10</v>
      </c>
      <c r="E51">
        <v>87</v>
      </c>
      <c r="F51">
        <v>2</v>
      </c>
      <c r="G51">
        <v>2</v>
      </c>
      <c r="H51">
        <v>7</v>
      </c>
      <c r="I51" t="s">
        <v>22</v>
      </c>
      <c r="J51" t="s">
        <v>222</v>
      </c>
      <c r="K51" s="11">
        <v>11</v>
      </c>
      <c r="L51" t="s">
        <v>220</v>
      </c>
      <c r="M51">
        <v>3</v>
      </c>
      <c r="N51" t="s">
        <v>245</v>
      </c>
    </row>
    <row r="52" spans="1:14" x14ac:dyDescent="0.3">
      <c r="A52" t="s">
        <v>84</v>
      </c>
      <c r="B52" s="1">
        <v>45659</v>
      </c>
      <c r="C52" t="s">
        <v>82</v>
      </c>
      <c r="D52">
        <v>9</v>
      </c>
      <c r="E52">
        <v>75</v>
      </c>
      <c r="F52">
        <v>0</v>
      </c>
      <c r="G52">
        <v>2</v>
      </c>
      <c r="H52">
        <v>6</v>
      </c>
      <c r="I52" t="s">
        <v>22</v>
      </c>
      <c r="J52" t="s">
        <v>218</v>
      </c>
      <c r="K52" s="11">
        <v>8</v>
      </c>
      <c r="L52" t="s">
        <v>219</v>
      </c>
      <c r="M52">
        <v>1</v>
      </c>
      <c r="N52" t="s">
        <v>243</v>
      </c>
    </row>
    <row r="53" spans="1:14" x14ac:dyDescent="0.3">
      <c r="A53" t="s">
        <v>85</v>
      </c>
      <c r="B53" s="1">
        <v>45718</v>
      </c>
      <c r="C53" t="s">
        <v>86</v>
      </c>
      <c r="D53">
        <v>11</v>
      </c>
      <c r="E53">
        <v>78</v>
      </c>
      <c r="F53">
        <v>0</v>
      </c>
      <c r="G53">
        <v>2</v>
      </c>
      <c r="H53">
        <v>4</v>
      </c>
      <c r="I53" t="s">
        <v>34</v>
      </c>
      <c r="J53" t="s">
        <v>222</v>
      </c>
      <c r="K53" s="11">
        <v>6</v>
      </c>
      <c r="L53" t="s">
        <v>219</v>
      </c>
      <c r="M53">
        <v>3</v>
      </c>
      <c r="N53" t="s">
        <v>245</v>
      </c>
    </row>
    <row r="54" spans="1:14" x14ac:dyDescent="0.3">
      <c r="A54" t="s">
        <v>87</v>
      </c>
      <c r="B54" s="1">
        <v>45742</v>
      </c>
      <c r="C54" t="s">
        <v>86</v>
      </c>
      <c r="D54">
        <v>10</v>
      </c>
      <c r="E54">
        <v>80</v>
      </c>
      <c r="F54">
        <v>1</v>
      </c>
      <c r="G54">
        <v>0</v>
      </c>
      <c r="H54">
        <v>2</v>
      </c>
      <c r="I54" t="s">
        <v>43</v>
      </c>
      <c r="J54" t="s">
        <v>222</v>
      </c>
      <c r="K54" s="11">
        <v>3</v>
      </c>
      <c r="L54" t="s">
        <v>220</v>
      </c>
      <c r="M54">
        <v>3</v>
      </c>
      <c r="N54" t="s">
        <v>245</v>
      </c>
    </row>
    <row r="55" spans="1:14" x14ac:dyDescent="0.3">
      <c r="A55" t="s">
        <v>88</v>
      </c>
      <c r="B55" s="1">
        <v>45742</v>
      </c>
      <c r="C55" t="s">
        <v>86</v>
      </c>
      <c r="D55">
        <v>18</v>
      </c>
      <c r="E55">
        <v>78</v>
      </c>
      <c r="F55">
        <v>0</v>
      </c>
      <c r="G55">
        <v>2</v>
      </c>
      <c r="H55">
        <v>3</v>
      </c>
      <c r="I55" t="s">
        <v>11</v>
      </c>
      <c r="J55" t="s">
        <v>222</v>
      </c>
      <c r="K55" s="11">
        <v>5</v>
      </c>
      <c r="L55" t="s">
        <v>219</v>
      </c>
      <c r="M55">
        <v>3</v>
      </c>
      <c r="N55" t="s">
        <v>245</v>
      </c>
    </row>
    <row r="56" spans="1:14" x14ac:dyDescent="0.3">
      <c r="A56" t="s">
        <v>89</v>
      </c>
      <c r="B56" s="1">
        <v>45701</v>
      </c>
      <c r="C56" t="s">
        <v>90</v>
      </c>
      <c r="D56">
        <v>9</v>
      </c>
      <c r="E56">
        <v>81</v>
      </c>
      <c r="F56">
        <v>1</v>
      </c>
      <c r="G56">
        <v>1</v>
      </c>
      <c r="H56">
        <v>1</v>
      </c>
      <c r="I56" t="s">
        <v>43</v>
      </c>
      <c r="J56" t="s">
        <v>221</v>
      </c>
      <c r="K56" s="11">
        <v>3</v>
      </c>
      <c r="L56" t="s">
        <v>220</v>
      </c>
      <c r="M56">
        <v>2</v>
      </c>
      <c r="N56" t="s">
        <v>244</v>
      </c>
    </row>
    <row r="57" spans="1:14" x14ac:dyDescent="0.3">
      <c r="A57" t="s">
        <v>91</v>
      </c>
      <c r="B57" s="1">
        <v>45689</v>
      </c>
      <c r="C57" t="s">
        <v>90</v>
      </c>
      <c r="D57">
        <v>15</v>
      </c>
      <c r="E57">
        <v>78</v>
      </c>
      <c r="F57">
        <v>2</v>
      </c>
      <c r="G57">
        <v>4</v>
      </c>
      <c r="H57">
        <v>8</v>
      </c>
      <c r="I57" t="s">
        <v>28</v>
      </c>
      <c r="J57" t="s">
        <v>221</v>
      </c>
      <c r="K57" s="11">
        <v>14</v>
      </c>
      <c r="L57" t="s">
        <v>219</v>
      </c>
      <c r="M57">
        <v>2</v>
      </c>
      <c r="N57" t="s">
        <v>244</v>
      </c>
    </row>
    <row r="58" spans="1:14" x14ac:dyDescent="0.3">
      <c r="A58" t="s">
        <v>92</v>
      </c>
      <c r="B58" s="1">
        <v>45720</v>
      </c>
      <c r="C58" t="s">
        <v>90</v>
      </c>
      <c r="D58">
        <v>8</v>
      </c>
      <c r="E58">
        <v>76</v>
      </c>
      <c r="F58">
        <v>0</v>
      </c>
      <c r="G58">
        <v>3</v>
      </c>
      <c r="H58">
        <v>2</v>
      </c>
      <c r="I58" t="s">
        <v>28</v>
      </c>
      <c r="J58" t="s">
        <v>222</v>
      </c>
      <c r="K58" s="11">
        <v>5</v>
      </c>
      <c r="L58" t="s">
        <v>219</v>
      </c>
      <c r="M58">
        <v>3</v>
      </c>
      <c r="N58" t="s">
        <v>245</v>
      </c>
    </row>
    <row r="59" spans="1:14" x14ac:dyDescent="0.3">
      <c r="A59" t="s">
        <v>93</v>
      </c>
      <c r="B59" s="1">
        <v>45724</v>
      </c>
      <c r="C59" t="s">
        <v>94</v>
      </c>
      <c r="D59">
        <v>6</v>
      </c>
      <c r="E59">
        <v>89</v>
      </c>
      <c r="F59">
        <v>2</v>
      </c>
      <c r="G59">
        <v>4</v>
      </c>
      <c r="H59">
        <v>1</v>
      </c>
      <c r="I59" t="s">
        <v>28</v>
      </c>
      <c r="J59" t="s">
        <v>222</v>
      </c>
      <c r="K59" s="11">
        <v>7</v>
      </c>
      <c r="L59" t="s">
        <v>220</v>
      </c>
      <c r="M59">
        <v>3</v>
      </c>
      <c r="N59" t="s">
        <v>245</v>
      </c>
    </row>
    <row r="60" spans="1:14" x14ac:dyDescent="0.3">
      <c r="A60" t="s">
        <v>95</v>
      </c>
      <c r="B60" s="1">
        <v>45658</v>
      </c>
      <c r="C60" t="s">
        <v>94</v>
      </c>
      <c r="D60">
        <v>18</v>
      </c>
      <c r="E60">
        <v>90</v>
      </c>
      <c r="F60">
        <v>0</v>
      </c>
      <c r="G60">
        <v>2</v>
      </c>
      <c r="H60">
        <v>3</v>
      </c>
      <c r="I60" t="s">
        <v>28</v>
      </c>
      <c r="J60" t="s">
        <v>218</v>
      </c>
      <c r="K60" s="11">
        <v>5</v>
      </c>
      <c r="L60" t="s">
        <v>220</v>
      </c>
      <c r="M60">
        <v>1</v>
      </c>
      <c r="N60" t="s">
        <v>243</v>
      </c>
    </row>
    <row r="61" spans="1:14" x14ac:dyDescent="0.3">
      <c r="A61" t="s">
        <v>96</v>
      </c>
      <c r="B61" s="1">
        <v>45672</v>
      </c>
      <c r="C61" t="s">
        <v>94</v>
      </c>
      <c r="D61">
        <v>9</v>
      </c>
      <c r="E61">
        <v>70</v>
      </c>
      <c r="F61">
        <v>0</v>
      </c>
      <c r="G61">
        <v>4</v>
      </c>
      <c r="H61">
        <v>8</v>
      </c>
      <c r="I61" t="s">
        <v>34</v>
      </c>
      <c r="J61" t="s">
        <v>218</v>
      </c>
      <c r="K61" s="11">
        <v>12</v>
      </c>
      <c r="L61" t="s">
        <v>219</v>
      </c>
      <c r="M61">
        <v>1</v>
      </c>
      <c r="N61" t="s">
        <v>243</v>
      </c>
    </row>
    <row r="62" spans="1:14" x14ac:dyDescent="0.3">
      <c r="A62" t="s">
        <v>97</v>
      </c>
      <c r="B62" s="1">
        <v>45705</v>
      </c>
      <c r="C62" t="s">
        <v>98</v>
      </c>
      <c r="D62">
        <v>16</v>
      </c>
      <c r="E62">
        <v>75</v>
      </c>
      <c r="F62">
        <v>2</v>
      </c>
      <c r="G62">
        <v>0</v>
      </c>
      <c r="H62">
        <v>8</v>
      </c>
      <c r="I62" t="s">
        <v>22</v>
      </c>
      <c r="J62" t="s">
        <v>221</v>
      </c>
      <c r="K62" s="11">
        <v>10</v>
      </c>
      <c r="L62" t="s">
        <v>219</v>
      </c>
      <c r="M62">
        <v>2</v>
      </c>
      <c r="N62" t="s">
        <v>244</v>
      </c>
    </row>
    <row r="63" spans="1:14" x14ac:dyDescent="0.3">
      <c r="A63" t="s">
        <v>99</v>
      </c>
      <c r="B63" s="1">
        <v>45707</v>
      </c>
      <c r="C63" t="s">
        <v>98</v>
      </c>
      <c r="D63">
        <v>14</v>
      </c>
      <c r="E63">
        <v>74</v>
      </c>
      <c r="F63">
        <v>2</v>
      </c>
      <c r="G63">
        <v>3</v>
      </c>
      <c r="H63">
        <v>0</v>
      </c>
      <c r="I63" t="s">
        <v>22</v>
      </c>
      <c r="J63" t="s">
        <v>221</v>
      </c>
      <c r="K63" s="11">
        <v>5</v>
      </c>
      <c r="L63" t="s">
        <v>219</v>
      </c>
      <c r="M63">
        <v>2</v>
      </c>
      <c r="N63" t="s">
        <v>244</v>
      </c>
    </row>
    <row r="64" spans="1:14" x14ac:dyDescent="0.3">
      <c r="A64" t="s">
        <v>100</v>
      </c>
      <c r="B64" s="1">
        <v>45692</v>
      </c>
      <c r="C64" t="s">
        <v>98</v>
      </c>
      <c r="D64">
        <v>6</v>
      </c>
      <c r="E64">
        <v>83</v>
      </c>
      <c r="F64">
        <v>0</v>
      </c>
      <c r="G64">
        <v>4</v>
      </c>
      <c r="H64">
        <v>4</v>
      </c>
      <c r="I64" t="s">
        <v>43</v>
      </c>
      <c r="J64" t="s">
        <v>221</v>
      </c>
      <c r="K64" s="11">
        <v>8</v>
      </c>
      <c r="L64" t="s">
        <v>220</v>
      </c>
      <c r="M64">
        <v>2</v>
      </c>
      <c r="N64" t="s">
        <v>244</v>
      </c>
    </row>
    <row r="65" spans="1:14" x14ac:dyDescent="0.3">
      <c r="A65" t="s">
        <v>101</v>
      </c>
      <c r="B65" s="1">
        <v>45680</v>
      </c>
      <c r="C65" t="s">
        <v>102</v>
      </c>
      <c r="D65">
        <v>8</v>
      </c>
      <c r="E65">
        <v>73</v>
      </c>
      <c r="F65">
        <v>1</v>
      </c>
      <c r="G65">
        <v>4</v>
      </c>
      <c r="H65">
        <v>0</v>
      </c>
      <c r="I65" t="s">
        <v>13</v>
      </c>
      <c r="J65" t="s">
        <v>218</v>
      </c>
      <c r="K65" s="11">
        <v>5</v>
      </c>
      <c r="L65" t="s">
        <v>219</v>
      </c>
      <c r="M65">
        <v>1</v>
      </c>
      <c r="N65" t="s">
        <v>243</v>
      </c>
    </row>
    <row r="66" spans="1:14" x14ac:dyDescent="0.3">
      <c r="A66" t="s">
        <v>103</v>
      </c>
      <c r="B66" s="1">
        <v>45691</v>
      </c>
      <c r="C66" t="s">
        <v>102</v>
      </c>
      <c r="D66">
        <v>12</v>
      </c>
      <c r="E66">
        <v>96</v>
      </c>
      <c r="F66">
        <v>1</v>
      </c>
      <c r="G66">
        <v>0</v>
      </c>
      <c r="H66">
        <v>3</v>
      </c>
      <c r="I66" t="s">
        <v>13</v>
      </c>
      <c r="J66" t="s">
        <v>221</v>
      </c>
      <c r="K66" s="11">
        <v>4</v>
      </c>
      <c r="L66" t="s">
        <v>220</v>
      </c>
      <c r="M66">
        <v>2</v>
      </c>
      <c r="N66" t="s">
        <v>244</v>
      </c>
    </row>
    <row r="67" spans="1:14" x14ac:dyDescent="0.3">
      <c r="A67" t="s">
        <v>104</v>
      </c>
      <c r="B67" s="1">
        <v>45710</v>
      </c>
      <c r="C67" t="s">
        <v>102</v>
      </c>
      <c r="D67">
        <v>7</v>
      </c>
      <c r="E67">
        <v>86</v>
      </c>
      <c r="F67">
        <v>0</v>
      </c>
      <c r="G67">
        <v>1</v>
      </c>
      <c r="H67">
        <v>5</v>
      </c>
      <c r="I67" t="s">
        <v>13</v>
      </c>
      <c r="J67" t="s">
        <v>221</v>
      </c>
      <c r="K67" s="11">
        <v>6</v>
      </c>
      <c r="L67" t="s">
        <v>220</v>
      </c>
      <c r="M67">
        <v>2</v>
      </c>
      <c r="N67" t="s">
        <v>244</v>
      </c>
    </row>
    <row r="68" spans="1:14" x14ac:dyDescent="0.3">
      <c r="A68" t="s">
        <v>105</v>
      </c>
      <c r="B68" s="1">
        <v>45742</v>
      </c>
      <c r="C68" t="s">
        <v>106</v>
      </c>
      <c r="D68">
        <v>20</v>
      </c>
      <c r="E68">
        <v>88</v>
      </c>
      <c r="F68">
        <v>1</v>
      </c>
      <c r="G68">
        <v>0</v>
      </c>
      <c r="H68">
        <v>6</v>
      </c>
      <c r="I68" t="s">
        <v>11</v>
      </c>
      <c r="J68" t="s">
        <v>222</v>
      </c>
      <c r="K68" s="11">
        <v>7</v>
      </c>
      <c r="L68" t="s">
        <v>220</v>
      </c>
      <c r="M68">
        <v>3</v>
      </c>
      <c r="N68" t="s">
        <v>245</v>
      </c>
    </row>
    <row r="69" spans="1:14" x14ac:dyDescent="0.3">
      <c r="A69" t="s">
        <v>107</v>
      </c>
      <c r="B69" s="1">
        <v>45687</v>
      </c>
      <c r="C69" t="s">
        <v>106</v>
      </c>
      <c r="D69">
        <v>14</v>
      </c>
      <c r="E69">
        <v>81</v>
      </c>
      <c r="F69">
        <v>2</v>
      </c>
      <c r="G69">
        <v>2</v>
      </c>
      <c r="H69">
        <v>3</v>
      </c>
      <c r="I69" t="s">
        <v>28</v>
      </c>
      <c r="J69" t="s">
        <v>218</v>
      </c>
      <c r="K69" s="11">
        <v>7</v>
      </c>
      <c r="L69" t="s">
        <v>220</v>
      </c>
      <c r="M69">
        <v>1</v>
      </c>
      <c r="N69" t="s">
        <v>243</v>
      </c>
    </row>
    <row r="70" spans="1:14" x14ac:dyDescent="0.3">
      <c r="A70" t="s">
        <v>108</v>
      </c>
      <c r="B70" s="1">
        <v>45687</v>
      </c>
      <c r="C70" t="s">
        <v>106</v>
      </c>
      <c r="D70">
        <v>8</v>
      </c>
      <c r="E70">
        <v>96</v>
      </c>
      <c r="F70">
        <v>2</v>
      </c>
      <c r="G70">
        <v>3</v>
      </c>
      <c r="H70">
        <v>1</v>
      </c>
      <c r="I70" t="s">
        <v>15</v>
      </c>
      <c r="J70" t="s">
        <v>218</v>
      </c>
      <c r="K70" s="11">
        <v>6</v>
      </c>
      <c r="L70" t="s">
        <v>220</v>
      </c>
      <c r="M70">
        <v>1</v>
      </c>
      <c r="N70" t="s">
        <v>243</v>
      </c>
    </row>
    <row r="71" spans="1:14" x14ac:dyDescent="0.3">
      <c r="A71" t="s">
        <v>109</v>
      </c>
      <c r="B71" s="1">
        <v>45727</v>
      </c>
      <c r="C71" t="s">
        <v>110</v>
      </c>
      <c r="D71">
        <v>6</v>
      </c>
      <c r="E71">
        <v>74</v>
      </c>
      <c r="F71">
        <v>1</v>
      </c>
      <c r="G71">
        <v>3</v>
      </c>
      <c r="H71">
        <v>7</v>
      </c>
      <c r="I71" t="s">
        <v>28</v>
      </c>
      <c r="J71" t="s">
        <v>222</v>
      </c>
      <c r="K71" s="11">
        <v>11</v>
      </c>
      <c r="L71" t="s">
        <v>219</v>
      </c>
      <c r="M71">
        <v>3</v>
      </c>
      <c r="N71" t="s">
        <v>245</v>
      </c>
    </row>
    <row r="72" spans="1:14" x14ac:dyDescent="0.3">
      <c r="A72" t="s">
        <v>111</v>
      </c>
      <c r="B72" s="1">
        <v>45746</v>
      </c>
      <c r="C72" t="s">
        <v>110</v>
      </c>
      <c r="D72">
        <v>14</v>
      </c>
      <c r="E72">
        <v>100</v>
      </c>
      <c r="F72">
        <v>2</v>
      </c>
      <c r="G72">
        <v>3</v>
      </c>
      <c r="H72">
        <v>1</v>
      </c>
      <c r="I72" t="s">
        <v>13</v>
      </c>
      <c r="J72" t="s">
        <v>222</v>
      </c>
      <c r="K72" s="11">
        <v>6</v>
      </c>
      <c r="L72" t="s">
        <v>220</v>
      </c>
      <c r="M72">
        <v>3</v>
      </c>
      <c r="N72" t="s">
        <v>245</v>
      </c>
    </row>
    <row r="73" spans="1:14" x14ac:dyDescent="0.3">
      <c r="A73" t="s">
        <v>112</v>
      </c>
      <c r="B73" s="1">
        <v>45664</v>
      </c>
      <c r="C73" t="s">
        <v>110</v>
      </c>
      <c r="D73">
        <v>6</v>
      </c>
      <c r="E73">
        <v>75</v>
      </c>
      <c r="F73">
        <v>1</v>
      </c>
      <c r="G73">
        <v>2</v>
      </c>
      <c r="H73">
        <v>3</v>
      </c>
      <c r="I73" t="s">
        <v>13</v>
      </c>
      <c r="J73" t="s">
        <v>218</v>
      </c>
      <c r="K73" s="11">
        <v>6</v>
      </c>
      <c r="L73" t="s">
        <v>219</v>
      </c>
      <c r="M73">
        <v>1</v>
      </c>
      <c r="N73" t="s">
        <v>243</v>
      </c>
    </row>
    <row r="74" spans="1:14" x14ac:dyDescent="0.3">
      <c r="A74" t="s">
        <v>113</v>
      </c>
      <c r="B74" s="1">
        <v>45669</v>
      </c>
      <c r="C74" t="s">
        <v>114</v>
      </c>
      <c r="D74">
        <v>9</v>
      </c>
      <c r="E74">
        <v>86</v>
      </c>
      <c r="F74">
        <v>0</v>
      </c>
      <c r="G74">
        <v>0</v>
      </c>
      <c r="H74">
        <v>4</v>
      </c>
      <c r="I74" t="s">
        <v>46</v>
      </c>
      <c r="J74" t="s">
        <v>218</v>
      </c>
      <c r="K74" s="11">
        <v>4</v>
      </c>
      <c r="L74" t="s">
        <v>220</v>
      </c>
      <c r="M74">
        <v>1</v>
      </c>
      <c r="N74" t="s">
        <v>243</v>
      </c>
    </row>
    <row r="75" spans="1:14" x14ac:dyDescent="0.3">
      <c r="A75" t="s">
        <v>115</v>
      </c>
      <c r="B75" s="1">
        <v>45682</v>
      </c>
      <c r="C75" t="s">
        <v>114</v>
      </c>
      <c r="D75">
        <v>12</v>
      </c>
      <c r="E75">
        <v>87</v>
      </c>
      <c r="F75">
        <v>1</v>
      </c>
      <c r="G75">
        <v>0</v>
      </c>
      <c r="H75">
        <v>3</v>
      </c>
      <c r="I75" t="s">
        <v>11</v>
      </c>
      <c r="J75" t="s">
        <v>218</v>
      </c>
      <c r="K75" s="11">
        <v>4</v>
      </c>
      <c r="L75" t="s">
        <v>220</v>
      </c>
      <c r="M75">
        <v>1</v>
      </c>
      <c r="N75" t="s">
        <v>243</v>
      </c>
    </row>
    <row r="76" spans="1:14" x14ac:dyDescent="0.3">
      <c r="A76" t="s">
        <v>116</v>
      </c>
      <c r="B76" s="1">
        <v>45706</v>
      </c>
      <c r="C76" t="s">
        <v>114</v>
      </c>
      <c r="D76">
        <v>11</v>
      </c>
      <c r="E76">
        <v>72</v>
      </c>
      <c r="F76">
        <v>0</v>
      </c>
      <c r="G76">
        <v>0</v>
      </c>
      <c r="H76">
        <v>8</v>
      </c>
      <c r="I76" t="s">
        <v>46</v>
      </c>
      <c r="J76" t="s">
        <v>221</v>
      </c>
      <c r="K76" s="11">
        <v>8</v>
      </c>
      <c r="L76" t="s">
        <v>219</v>
      </c>
      <c r="M76">
        <v>2</v>
      </c>
      <c r="N76" t="s">
        <v>244</v>
      </c>
    </row>
    <row r="77" spans="1:14" x14ac:dyDescent="0.3">
      <c r="A77" t="s">
        <v>117</v>
      </c>
      <c r="B77" s="1">
        <v>45746</v>
      </c>
      <c r="C77" t="s">
        <v>118</v>
      </c>
      <c r="D77">
        <v>18</v>
      </c>
      <c r="E77">
        <v>89</v>
      </c>
      <c r="F77">
        <v>0</v>
      </c>
      <c r="G77">
        <v>2</v>
      </c>
      <c r="H77">
        <v>1</v>
      </c>
      <c r="I77" t="s">
        <v>15</v>
      </c>
      <c r="J77" t="s">
        <v>222</v>
      </c>
      <c r="K77" s="11">
        <v>3</v>
      </c>
      <c r="L77" t="s">
        <v>220</v>
      </c>
      <c r="M77">
        <v>3</v>
      </c>
      <c r="N77" t="s">
        <v>245</v>
      </c>
    </row>
    <row r="78" spans="1:14" x14ac:dyDescent="0.3">
      <c r="A78" t="s">
        <v>119</v>
      </c>
      <c r="B78" s="1">
        <v>45677</v>
      </c>
      <c r="C78" t="s">
        <v>118</v>
      </c>
      <c r="D78">
        <v>17</v>
      </c>
      <c r="E78">
        <v>86</v>
      </c>
      <c r="F78">
        <v>0</v>
      </c>
      <c r="G78">
        <v>4</v>
      </c>
      <c r="H78">
        <v>7</v>
      </c>
      <c r="I78" t="s">
        <v>11</v>
      </c>
      <c r="J78" t="s">
        <v>218</v>
      </c>
      <c r="K78" s="11">
        <v>11</v>
      </c>
      <c r="L78" t="s">
        <v>220</v>
      </c>
      <c r="M78">
        <v>1</v>
      </c>
      <c r="N78" t="s">
        <v>243</v>
      </c>
    </row>
    <row r="79" spans="1:14" x14ac:dyDescent="0.3">
      <c r="A79" t="s">
        <v>120</v>
      </c>
      <c r="B79" s="1">
        <v>45732</v>
      </c>
      <c r="C79" t="s">
        <v>118</v>
      </c>
      <c r="D79">
        <v>18</v>
      </c>
      <c r="E79">
        <v>85</v>
      </c>
      <c r="F79">
        <v>0</v>
      </c>
      <c r="G79">
        <v>0</v>
      </c>
      <c r="H79">
        <v>2</v>
      </c>
      <c r="I79" t="s">
        <v>13</v>
      </c>
      <c r="J79" t="s">
        <v>222</v>
      </c>
      <c r="K79" s="11">
        <v>2</v>
      </c>
      <c r="L79" t="s">
        <v>220</v>
      </c>
      <c r="M79">
        <v>3</v>
      </c>
      <c r="N79" t="s">
        <v>245</v>
      </c>
    </row>
    <row r="80" spans="1:14" x14ac:dyDescent="0.3">
      <c r="A80" t="s">
        <v>121</v>
      </c>
      <c r="B80" s="1">
        <v>45738</v>
      </c>
      <c r="C80" t="s">
        <v>122</v>
      </c>
      <c r="D80">
        <v>20</v>
      </c>
      <c r="E80">
        <v>84</v>
      </c>
      <c r="F80">
        <v>1</v>
      </c>
      <c r="G80">
        <v>3</v>
      </c>
      <c r="H80">
        <v>6</v>
      </c>
      <c r="I80" t="s">
        <v>11</v>
      </c>
      <c r="J80" t="s">
        <v>222</v>
      </c>
      <c r="K80" s="11">
        <v>10</v>
      </c>
      <c r="L80" t="s">
        <v>220</v>
      </c>
      <c r="M80">
        <v>3</v>
      </c>
      <c r="N80" t="s">
        <v>245</v>
      </c>
    </row>
    <row r="81" spans="1:14" x14ac:dyDescent="0.3">
      <c r="A81" t="s">
        <v>123</v>
      </c>
      <c r="B81" s="1">
        <v>45701</v>
      </c>
      <c r="C81" t="s">
        <v>122</v>
      </c>
      <c r="D81">
        <v>9</v>
      </c>
      <c r="E81">
        <v>90</v>
      </c>
      <c r="F81">
        <v>0</v>
      </c>
      <c r="G81">
        <v>3</v>
      </c>
      <c r="H81">
        <v>5</v>
      </c>
      <c r="I81" t="s">
        <v>34</v>
      </c>
      <c r="J81" t="s">
        <v>221</v>
      </c>
      <c r="K81" s="11">
        <v>8</v>
      </c>
      <c r="L81" t="s">
        <v>220</v>
      </c>
      <c r="M81">
        <v>2</v>
      </c>
      <c r="N81" t="s">
        <v>244</v>
      </c>
    </row>
    <row r="82" spans="1:14" x14ac:dyDescent="0.3">
      <c r="A82" t="s">
        <v>124</v>
      </c>
      <c r="B82" s="1">
        <v>45681</v>
      </c>
      <c r="C82" t="s">
        <v>122</v>
      </c>
      <c r="D82">
        <v>16</v>
      </c>
      <c r="E82">
        <v>70</v>
      </c>
      <c r="F82">
        <v>2</v>
      </c>
      <c r="G82">
        <v>1</v>
      </c>
      <c r="H82">
        <v>1</v>
      </c>
      <c r="I82" t="s">
        <v>22</v>
      </c>
      <c r="J82" t="s">
        <v>218</v>
      </c>
      <c r="K82" s="11">
        <v>4</v>
      </c>
      <c r="L82" t="s">
        <v>219</v>
      </c>
      <c r="M82">
        <v>1</v>
      </c>
      <c r="N82" t="s">
        <v>243</v>
      </c>
    </row>
    <row r="83" spans="1:14" x14ac:dyDescent="0.3">
      <c r="A83" t="s">
        <v>125</v>
      </c>
      <c r="B83" s="1">
        <v>45682</v>
      </c>
      <c r="C83" t="s">
        <v>126</v>
      </c>
      <c r="D83">
        <v>17</v>
      </c>
      <c r="E83">
        <v>76</v>
      </c>
      <c r="F83">
        <v>0</v>
      </c>
      <c r="G83">
        <v>4</v>
      </c>
      <c r="H83">
        <v>2</v>
      </c>
      <c r="I83" t="s">
        <v>34</v>
      </c>
      <c r="J83" t="s">
        <v>218</v>
      </c>
      <c r="K83" s="11">
        <v>6</v>
      </c>
      <c r="L83" t="s">
        <v>219</v>
      </c>
      <c r="M83">
        <v>1</v>
      </c>
      <c r="N83" t="s">
        <v>243</v>
      </c>
    </row>
    <row r="84" spans="1:14" x14ac:dyDescent="0.3">
      <c r="A84" t="s">
        <v>127</v>
      </c>
      <c r="B84" s="1">
        <v>45712</v>
      </c>
      <c r="C84" t="s">
        <v>126</v>
      </c>
      <c r="D84">
        <v>10</v>
      </c>
      <c r="E84">
        <v>70</v>
      </c>
      <c r="F84">
        <v>0</v>
      </c>
      <c r="G84">
        <v>2</v>
      </c>
      <c r="H84">
        <v>8</v>
      </c>
      <c r="I84" t="s">
        <v>22</v>
      </c>
      <c r="J84" t="s">
        <v>221</v>
      </c>
      <c r="K84" s="11">
        <v>10</v>
      </c>
      <c r="L84" t="s">
        <v>219</v>
      </c>
      <c r="M84">
        <v>2</v>
      </c>
      <c r="N84" t="s">
        <v>244</v>
      </c>
    </row>
    <row r="85" spans="1:14" x14ac:dyDescent="0.3">
      <c r="A85" t="s">
        <v>128</v>
      </c>
      <c r="B85" s="1">
        <v>45659</v>
      </c>
      <c r="C85" t="s">
        <v>126</v>
      </c>
      <c r="D85">
        <v>13</v>
      </c>
      <c r="E85">
        <v>91</v>
      </c>
      <c r="F85">
        <v>0</v>
      </c>
      <c r="G85">
        <v>3</v>
      </c>
      <c r="H85">
        <v>1</v>
      </c>
      <c r="I85" t="s">
        <v>13</v>
      </c>
      <c r="J85" t="s">
        <v>218</v>
      </c>
      <c r="K85" s="11">
        <v>4</v>
      </c>
      <c r="L85" t="s">
        <v>220</v>
      </c>
      <c r="M85">
        <v>1</v>
      </c>
      <c r="N85" t="s">
        <v>243</v>
      </c>
    </row>
    <row r="86" spans="1:14" x14ac:dyDescent="0.3">
      <c r="A86" t="s">
        <v>129</v>
      </c>
      <c r="B86" s="1">
        <v>45702</v>
      </c>
      <c r="C86" t="s">
        <v>130</v>
      </c>
      <c r="D86">
        <v>7</v>
      </c>
      <c r="E86">
        <v>80</v>
      </c>
      <c r="F86">
        <v>2</v>
      </c>
      <c r="G86">
        <v>2</v>
      </c>
      <c r="H86">
        <v>8</v>
      </c>
      <c r="I86" t="s">
        <v>22</v>
      </c>
      <c r="J86" t="s">
        <v>221</v>
      </c>
      <c r="K86" s="11">
        <v>12</v>
      </c>
      <c r="L86" t="s">
        <v>220</v>
      </c>
      <c r="M86">
        <v>2</v>
      </c>
      <c r="N86" t="s">
        <v>244</v>
      </c>
    </row>
    <row r="87" spans="1:14" x14ac:dyDescent="0.3">
      <c r="A87" t="s">
        <v>131</v>
      </c>
      <c r="B87" s="1">
        <v>45746</v>
      </c>
      <c r="C87" t="s">
        <v>130</v>
      </c>
      <c r="D87">
        <v>5</v>
      </c>
      <c r="E87">
        <v>90</v>
      </c>
      <c r="F87">
        <v>1</v>
      </c>
      <c r="G87">
        <v>0</v>
      </c>
      <c r="H87">
        <v>7</v>
      </c>
      <c r="I87" t="s">
        <v>43</v>
      </c>
      <c r="J87" t="s">
        <v>222</v>
      </c>
      <c r="K87" s="11">
        <v>8</v>
      </c>
      <c r="L87" t="s">
        <v>220</v>
      </c>
      <c r="M87">
        <v>3</v>
      </c>
      <c r="N87" t="s">
        <v>245</v>
      </c>
    </row>
    <row r="88" spans="1:14" x14ac:dyDescent="0.3">
      <c r="A88" t="s">
        <v>132</v>
      </c>
      <c r="B88" s="1">
        <v>45704</v>
      </c>
      <c r="C88" t="s">
        <v>130</v>
      </c>
      <c r="D88">
        <v>7</v>
      </c>
      <c r="E88">
        <v>70</v>
      </c>
      <c r="F88">
        <v>2</v>
      </c>
      <c r="G88">
        <v>2</v>
      </c>
      <c r="H88">
        <v>8</v>
      </c>
      <c r="I88" t="s">
        <v>28</v>
      </c>
      <c r="J88" t="s">
        <v>221</v>
      </c>
      <c r="K88" s="11">
        <v>12</v>
      </c>
      <c r="L88" t="s">
        <v>219</v>
      </c>
      <c r="M88">
        <v>2</v>
      </c>
      <c r="N88" t="s">
        <v>244</v>
      </c>
    </row>
    <row r="89" spans="1:14" x14ac:dyDescent="0.3">
      <c r="A89" t="s">
        <v>133</v>
      </c>
      <c r="B89" s="1">
        <v>45669</v>
      </c>
      <c r="C89" t="s">
        <v>134</v>
      </c>
      <c r="D89">
        <v>11</v>
      </c>
      <c r="E89">
        <v>98</v>
      </c>
      <c r="F89">
        <v>1</v>
      </c>
      <c r="G89">
        <v>0</v>
      </c>
      <c r="H89">
        <v>6</v>
      </c>
      <c r="I89" t="s">
        <v>28</v>
      </c>
      <c r="J89" t="s">
        <v>218</v>
      </c>
      <c r="K89" s="11">
        <v>7</v>
      </c>
      <c r="L89" t="s">
        <v>220</v>
      </c>
      <c r="M89">
        <v>1</v>
      </c>
      <c r="N89" t="s">
        <v>243</v>
      </c>
    </row>
    <row r="90" spans="1:14" x14ac:dyDescent="0.3">
      <c r="A90" t="s">
        <v>135</v>
      </c>
      <c r="B90" s="1">
        <v>45719</v>
      </c>
      <c r="C90" t="s">
        <v>134</v>
      </c>
      <c r="D90">
        <v>11</v>
      </c>
      <c r="E90">
        <v>91</v>
      </c>
      <c r="F90">
        <v>0</v>
      </c>
      <c r="G90">
        <v>3</v>
      </c>
      <c r="H90">
        <v>4</v>
      </c>
      <c r="I90" t="s">
        <v>28</v>
      </c>
      <c r="J90" t="s">
        <v>222</v>
      </c>
      <c r="K90" s="11">
        <v>7</v>
      </c>
      <c r="L90" t="s">
        <v>220</v>
      </c>
      <c r="M90">
        <v>3</v>
      </c>
      <c r="N90" t="s">
        <v>245</v>
      </c>
    </row>
    <row r="91" spans="1:14" x14ac:dyDescent="0.3">
      <c r="A91" t="s">
        <v>136</v>
      </c>
      <c r="B91" s="1">
        <v>45718</v>
      </c>
      <c r="C91" t="s">
        <v>134</v>
      </c>
      <c r="D91">
        <v>18</v>
      </c>
      <c r="E91">
        <v>92</v>
      </c>
      <c r="F91">
        <v>1</v>
      </c>
      <c r="G91">
        <v>1</v>
      </c>
      <c r="H91">
        <v>5</v>
      </c>
      <c r="I91" t="s">
        <v>43</v>
      </c>
      <c r="J91" t="s">
        <v>222</v>
      </c>
      <c r="K91" s="11">
        <v>7</v>
      </c>
      <c r="L91" t="s">
        <v>220</v>
      </c>
      <c r="M91">
        <v>3</v>
      </c>
      <c r="N91" t="s">
        <v>245</v>
      </c>
    </row>
    <row r="92" spans="1:14" x14ac:dyDescent="0.3">
      <c r="A92" t="s">
        <v>137</v>
      </c>
      <c r="B92" s="1">
        <v>45733</v>
      </c>
      <c r="C92" t="s">
        <v>138</v>
      </c>
      <c r="D92">
        <v>6</v>
      </c>
      <c r="E92">
        <v>73</v>
      </c>
      <c r="F92">
        <v>2</v>
      </c>
      <c r="G92">
        <v>3</v>
      </c>
      <c r="H92">
        <v>4</v>
      </c>
      <c r="I92" t="s">
        <v>11</v>
      </c>
      <c r="J92" t="s">
        <v>222</v>
      </c>
      <c r="K92" s="11">
        <v>9</v>
      </c>
      <c r="L92" t="s">
        <v>219</v>
      </c>
      <c r="M92">
        <v>3</v>
      </c>
      <c r="N92" t="s">
        <v>245</v>
      </c>
    </row>
    <row r="93" spans="1:14" x14ac:dyDescent="0.3">
      <c r="A93" t="s">
        <v>139</v>
      </c>
      <c r="B93" s="1">
        <v>45697</v>
      </c>
      <c r="C93" t="s">
        <v>138</v>
      </c>
      <c r="D93">
        <v>9</v>
      </c>
      <c r="E93">
        <v>73</v>
      </c>
      <c r="F93">
        <v>2</v>
      </c>
      <c r="G93">
        <v>2</v>
      </c>
      <c r="H93">
        <v>3</v>
      </c>
      <c r="I93" t="s">
        <v>46</v>
      </c>
      <c r="J93" t="s">
        <v>221</v>
      </c>
      <c r="K93" s="11">
        <v>7</v>
      </c>
      <c r="L93" t="s">
        <v>219</v>
      </c>
      <c r="M93">
        <v>2</v>
      </c>
      <c r="N93" t="s">
        <v>244</v>
      </c>
    </row>
    <row r="94" spans="1:14" x14ac:dyDescent="0.3">
      <c r="A94" t="s">
        <v>140</v>
      </c>
      <c r="B94" s="1">
        <v>45723</v>
      </c>
      <c r="C94" t="s">
        <v>138</v>
      </c>
      <c r="D94">
        <v>9</v>
      </c>
      <c r="E94">
        <v>73</v>
      </c>
      <c r="F94">
        <v>1</v>
      </c>
      <c r="G94">
        <v>3</v>
      </c>
      <c r="H94">
        <v>5</v>
      </c>
      <c r="I94" t="s">
        <v>22</v>
      </c>
      <c r="J94" t="s">
        <v>222</v>
      </c>
      <c r="K94" s="11">
        <v>9</v>
      </c>
      <c r="L94" t="s">
        <v>219</v>
      </c>
      <c r="M94">
        <v>3</v>
      </c>
      <c r="N94" t="s">
        <v>245</v>
      </c>
    </row>
    <row r="95" spans="1:14" x14ac:dyDescent="0.3">
      <c r="A95" t="s">
        <v>141</v>
      </c>
      <c r="B95" s="1">
        <v>45671</v>
      </c>
      <c r="C95" t="s">
        <v>142</v>
      </c>
      <c r="D95">
        <v>18</v>
      </c>
      <c r="E95">
        <v>85</v>
      </c>
      <c r="F95">
        <v>0</v>
      </c>
      <c r="G95">
        <v>3</v>
      </c>
      <c r="H95">
        <v>2</v>
      </c>
      <c r="I95" t="s">
        <v>11</v>
      </c>
      <c r="J95" t="s">
        <v>218</v>
      </c>
      <c r="K95" s="11">
        <v>5</v>
      </c>
      <c r="L95" t="s">
        <v>220</v>
      </c>
      <c r="M95">
        <v>1</v>
      </c>
      <c r="N95" t="s">
        <v>243</v>
      </c>
    </row>
    <row r="96" spans="1:14" x14ac:dyDescent="0.3">
      <c r="A96" t="s">
        <v>143</v>
      </c>
      <c r="B96" s="1">
        <v>45741</v>
      </c>
      <c r="C96" t="s">
        <v>142</v>
      </c>
      <c r="D96">
        <v>15</v>
      </c>
      <c r="E96">
        <v>95</v>
      </c>
      <c r="F96">
        <v>2</v>
      </c>
      <c r="G96">
        <v>2</v>
      </c>
      <c r="H96">
        <v>4</v>
      </c>
      <c r="I96" t="s">
        <v>43</v>
      </c>
      <c r="J96" t="s">
        <v>222</v>
      </c>
      <c r="K96" s="11">
        <v>8</v>
      </c>
      <c r="L96" t="s">
        <v>220</v>
      </c>
      <c r="M96">
        <v>3</v>
      </c>
      <c r="N96" t="s">
        <v>245</v>
      </c>
    </row>
    <row r="97" spans="1:14" x14ac:dyDescent="0.3">
      <c r="A97" t="s">
        <v>144</v>
      </c>
      <c r="B97" s="1">
        <v>45684</v>
      </c>
      <c r="C97" t="s">
        <v>142</v>
      </c>
      <c r="D97">
        <v>14</v>
      </c>
      <c r="E97">
        <v>93</v>
      </c>
      <c r="F97">
        <v>2</v>
      </c>
      <c r="G97">
        <v>0</v>
      </c>
      <c r="H97">
        <v>1</v>
      </c>
      <c r="I97" t="s">
        <v>34</v>
      </c>
      <c r="J97" t="s">
        <v>218</v>
      </c>
      <c r="K97" s="11">
        <v>3</v>
      </c>
      <c r="L97" t="s">
        <v>220</v>
      </c>
      <c r="M97">
        <v>1</v>
      </c>
      <c r="N97" t="s">
        <v>243</v>
      </c>
    </row>
    <row r="98" spans="1:14" x14ac:dyDescent="0.3">
      <c r="A98" t="s">
        <v>145</v>
      </c>
      <c r="B98" s="1">
        <v>45737</v>
      </c>
      <c r="C98" t="s">
        <v>146</v>
      </c>
      <c r="D98">
        <v>7</v>
      </c>
      <c r="E98">
        <v>73</v>
      </c>
      <c r="F98">
        <v>0</v>
      </c>
      <c r="G98">
        <v>0</v>
      </c>
      <c r="H98">
        <v>0</v>
      </c>
      <c r="I98" t="s">
        <v>43</v>
      </c>
      <c r="J98" t="s">
        <v>222</v>
      </c>
      <c r="K98" s="11">
        <v>0</v>
      </c>
      <c r="L98" t="s">
        <v>219</v>
      </c>
      <c r="M98">
        <v>3</v>
      </c>
      <c r="N98" t="s">
        <v>245</v>
      </c>
    </row>
    <row r="99" spans="1:14" x14ac:dyDescent="0.3">
      <c r="A99" t="s">
        <v>147</v>
      </c>
      <c r="B99" s="1">
        <v>45683</v>
      </c>
      <c r="C99" t="s">
        <v>146</v>
      </c>
      <c r="D99">
        <v>19</v>
      </c>
      <c r="E99">
        <v>78</v>
      </c>
      <c r="F99">
        <v>2</v>
      </c>
      <c r="G99">
        <v>3</v>
      </c>
      <c r="H99">
        <v>4</v>
      </c>
      <c r="I99" t="s">
        <v>34</v>
      </c>
      <c r="J99" t="s">
        <v>218</v>
      </c>
      <c r="K99" s="11">
        <v>9</v>
      </c>
      <c r="L99" t="s">
        <v>219</v>
      </c>
      <c r="M99">
        <v>1</v>
      </c>
      <c r="N99" t="s">
        <v>243</v>
      </c>
    </row>
    <row r="100" spans="1:14" x14ac:dyDescent="0.3">
      <c r="A100" t="s">
        <v>148</v>
      </c>
      <c r="B100" s="1">
        <v>45682</v>
      </c>
      <c r="C100" t="s">
        <v>146</v>
      </c>
      <c r="D100">
        <v>14</v>
      </c>
      <c r="E100">
        <v>70</v>
      </c>
      <c r="F100">
        <v>1</v>
      </c>
      <c r="G100">
        <v>0</v>
      </c>
      <c r="H100">
        <v>1</v>
      </c>
      <c r="I100" t="s">
        <v>46</v>
      </c>
      <c r="J100" t="s">
        <v>218</v>
      </c>
      <c r="K100" s="11">
        <v>2</v>
      </c>
      <c r="L100" t="s">
        <v>219</v>
      </c>
      <c r="M100">
        <v>1</v>
      </c>
      <c r="N100" t="s">
        <v>243</v>
      </c>
    </row>
    <row r="101" spans="1:14" x14ac:dyDescent="0.3">
      <c r="A101" t="s">
        <v>149</v>
      </c>
      <c r="B101" s="1">
        <v>45736</v>
      </c>
      <c r="C101" t="s">
        <v>150</v>
      </c>
      <c r="D101">
        <v>17</v>
      </c>
      <c r="E101">
        <v>97</v>
      </c>
      <c r="F101">
        <v>0</v>
      </c>
      <c r="G101">
        <v>1</v>
      </c>
      <c r="H101">
        <v>7</v>
      </c>
      <c r="I101" t="s">
        <v>34</v>
      </c>
      <c r="J101" t="s">
        <v>222</v>
      </c>
      <c r="K101" s="11">
        <v>8</v>
      </c>
      <c r="L101" t="s">
        <v>220</v>
      </c>
      <c r="M101">
        <v>3</v>
      </c>
      <c r="N101" t="s">
        <v>245</v>
      </c>
    </row>
    <row r="102" spans="1:14" x14ac:dyDescent="0.3">
      <c r="A102" t="s">
        <v>151</v>
      </c>
      <c r="B102" s="1">
        <v>45715</v>
      </c>
      <c r="C102" t="s">
        <v>150</v>
      </c>
      <c r="D102">
        <v>15</v>
      </c>
      <c r="E102">
        <v>74</v>
      </c>
      <c r="F102">
        <v>2</v>
      </c>
      <c r="G102">
        <v>1</v>
      </c>
      <c r="H102">
        <v>3</v>
      </c>
      <c r="I102" t="s">
        <v>46</v>
      </c>
      <c r="J102" t="s">
        <v>221</v>
      </c>
      <c r="K102" s="11">
        <v>6</v>
      </c>
      <c r="L102" t="s">
        <v>219</v>
      </c>
      <c r="M102">
        <v>2</v>
      </c>
      <c r="N102" t="s">
        <v>244</v>
      </c>
    </row>
    <row r="103" spans="1:14" x14ac:dyDescent="0.3">
      <c r="A103" t="s">
        <v>152</v>
      </c>
      <c r="B103" s="1">
        <v>45659</v>
      </c>
      <c r="C103" t="s">
        <v>150</v>
      </c>
      <c r="D103">
        <v>17</v>
      </c>
      <c r="E103">
        <v>98</v>
      </c>
      <c r="F103">
        <v>0</v>
      </c>
      <c r="G103">
        <v>1</v>
      </c>
      <c r="H103">
        <v>1</v>
      </c>
      <c r="I103" t="s">
        <v>43</v>
      </c>
      <c r="J103" t="s">
        <v>218</v>
      </c>
      <c r="K103" s="11">
        <v>2</v>
      </c>
      <c r="L103" t="s">
        <v>220</v>
      </c>
      <c r="M103">
        <v>1</v>
      </c>
      <c r="N103" t="s">
        <v>243</v>
      </c>
    </row>
    <row r="104" spans="1:14" x14ac:dyDescent="0.3">
      <c r="A104" t="s">
        <v>153</v>
      </c>
      <c r="B104" s="1">
        <v>45694</v>
      </c>
      <c r="C104" t="s">
        <v>154</v>
      </c>
      <c r="D104">
        <v>10</v>
      </c>
      <c r="E104">
        <v>82</v>
      </c>
      <c r="F104">
        <v>0</v>
      </c>
      <c r="G104">
        <v>3</v>
      </c>
      <c r="H104">
        <v>7</v>
      </c>
      <c r="I104" t="s">
        <v>28</v>
      </c>
      <c r="J104" t="s">
        <v>221</v>
      </c>
      <c r="K104" s="11">
        <v>10</v>
      </c>
      <c r="L104" t="s">
        <v>220</v>
      </c>
      <c r="M104">
        <v>2</v>
      </c>
      <c r="N104" t="s">
        <v>244</v>
      </c>
    </row>
    <row r="105" spans="1:14" x14ac:dyDescent="0.3">
      <c r="A105" t="s">
        <v>155</v>
      </c>
      <c r="B105" s="1">
        <v>45678</v>
      </c>
      <c r="C105" t="s">
        <v>154</v>
      </c>
      <c r="D105">
        <v>13</v>
      </c>
      <c r="E105">
        <v>81</v>
      </c>
      <c r="F105">
        <v>1</v>
      </c>
      <c r="G105">
        <v>0</v>
      </c>
      <c r="H105">
        <v>4</v>
      </c>
      <c r="I105" t="s">
        <v>46</v>
      </c>
      <c r="J105" t="s">
        <v>218</v>
      </c>
      <c r="K105" s="11">
        <v>5</v>
      </c>
      <c r="L105" t="s">
        <v>220</v>
      </c>
      <c r="M105">
        <v>1</v>
      </c>
      <c r="N105" t="s">
        <v>243</v>
      </c>
    </row>
    <row r="106" spans="1:14" x14ac:dyDescent="0.3">
      <c r="A106" t="s">
        <v>156</v>
      </c>
      <c r="B106" s="1">
        <v>45729</v>
      </c>
      <c r="C106" t="s">
        <v>157</v>
      </c>
      <c r="D106">
        <v>20</v>
      </c>
      <c r="E106">
        <v>96</v>
      </c>
      <c r="F106">
        <v>0</v>
      </c>
      <c r="G106">
        <v>4</v>
      </c>
      <c r="H106">
        <v>7</v>
      </c>
      <c r="I106" t="s">
        <v>46</v>
      </c>
      <c r="J106" t="s">
        <v>222</v>
      </c>
      <c r="K106" s="11">
        <v>11</v>
      </c>
      <c r="L106" t="s">
        <v>220</v>
      </c>
      <c r="M106">
        <v>3</v>
      </c>
      <c r="N106" t="s">
        <v>245</v>
      </c>
    </row>
    <row r="107" spans="1:14" x14ac:dyDescent="0.3">
      <c r="A107" t="s">
        <v>158</v>
      </c>
      <c r="B107" s="1">
        <v>45667</v>
      </c>
      <c r="C107" t="s">
        <v>157</v>
      </c>
      <c r="D107">
        <v>14</v>
      </c>
      <c r="E107">
        <v>77</v>
      </c>
      <c r="F107">
        <v>1</v>
      </c>
      <c r="G107">
        <v>3</v>
      </c>
      <c r="H107">
        <v>6</v>
      </c>
      <c r="I107" t="s">
        <v>28</v>
      </c>
      <c r="J107" t="s">
        <v>218</v>
      </c>
      <c r="K107" s="11">
        <v>10</v>
      </c>
      <c r="L107" t="s">
        <v>219</v>
      </c>
      <c r="M107">
        <v>1</v>
      </c>
      <c r="N107" t="s">
        <v>243</v>
      </c>
    </row>
    <row r="108" spans="1:14" x14ac:dyDescent="0.3">
      <c r="A108" t="s">
        <v>159</v>
      </c>
      <c r="B108" s="1">
        <v>45741</v>
      </c>
      <c r="C108" t="s">
        <v>157</v>
      </c>
      <c r="D108">
        <v>17</v>
      </c>
      <c r="E108">
        <v>94</v>
      </c>
      <c r="F108">
        <v>0</v>
      </c>
      <c r="G108">
        <v>3</v>
      </c>
      <c r="H108">
        <v>1</v>
      </c>
      <c r="I108" t="s">
        <v>22</v>
      </c>
      <c r="J108" t="s">
        <v>222</v>
      </c>
      <c r="K108" s="11">
        <v>4</v>
      </c>
      <c r="L108" t="s">
        <v>220</v>
      </c>
      <c r="M108">
        <v>3</v>
      </c>
      <c r="N108" t="s">
        <v>245</v>
      </c>
    </row>
    <row r="109" spans="1:14" x14ac:dyDescent="0.3">
      <c r="A109" t="s">
        <v>160</v>
      </c>
      <c r="B109" s="1">
        <v>45744</v>
      </c>
      <c r="C109" t="s">
        <v>161</v>
      </c>
      <c r="D109">
        <v>11</v>
      </c>
      <c r="E109">
        <v>96</v>
      </c>
      <c r="F109">
        <v>2</v>
      </c>
      <c r="G109">
        <v>2</v>
      </c>
      <c r="H109">
        <v>5</v>
      </c>
      <c r="I109" t="s">
        <v>13</v>
      </c>
      <c r="J109" t="s">
        <v>222</v>
      </c>
      <c r="K109" s="11">
        <v>9</v>
      </c>
      <c r="L109" t="s">
        <v>220</v>
      </c>
      <c r="M109">
        <v>3</v>
      </c>
      <c r="N109" t="s">
        <v>245</v>
      </c>
    </row>
    <row r="110" spans="1:14" x14ac:dyDescent="0.3">
      <c r="A110" t="s">
        <v>162</v>
      </c>
      <c r="B110" s="1">
        <v>45706</v>
      </c>
      <c r="C110" t="s">
        <v>161</v>
      </c>
      <c r="D110">
        <v>17</v>
      </c>
      <c r="E110">
        <v>80</v>
      </c>
      <c r="F110">
        <v>2</v>
      </c>
      <c r="G110">
        <v>3</v>
      </c>
      <c r="H110">
        <v>1</v>
      </c>
      <c r="I110" t="s">
        <v>11</v>
      </c>
      <c r="J110" t="s">
        <v>221</v>
      </c>
      <c r="K110" s="11">
        <v>6</v>
      </c>
      <c r="L110" t="s">
        <v>220</v>
      </c>
      <c r="M110">
        <v>2</v>
      </c>
      <c r="N110" t="s">
        <v>244</v>
      </c>
    </row>
    <row r="111" spans="1:14" x14ac:dyDescent="0.3">
      <c r="A111" t="s">
        <v>163</v>
      </c>
      <c r="B111" s="1">
        <v>45695</v>
      </c>
      <c r="C111" t="s">
        <v>161</v>
      </c>
      <c r="D111">
        <v>6</v>
      </c>
      <c r="E111">
        <v>99</v>
      </c>
      <c r="F111">
        <v>2</v>
      </c>
      <c r="G111">
        <v>1</v>
      </c>
      <c r="H111">
        <v>2</v>
      </c>
      <c r="I111" t="s">
        <v>34</v>
      </c>
      <c r="J111" t="s">
        <v>221</v>
      </c>
      <c r="K111" s="11">
        <v>5</v>
      </c>
      <c r="L111" t="s">
        <v>220</v>
      </c>
      <c r="M111">
        <v>2</v>
      </c>
      <c r="N111" t="s">
        <v>244</v>
      </c>
    </row>
    <row r="112" spans="1:14" x14ac:dyDescent="0.3">
      <c r="A112" t="s">
        <v>164</v>
      </c>
      <c r="B112" s="1">
        <v>45728</v>
      </c>
      <c r="C112" t="s">
        <v>165</v>
      </c>
      <c r="D112">
        <v>20</v>
      </c>
      <c r="E112">
        <v>71</v>
      </c>
      <c r="F112">
        <v>2</v>
      </c>
      <c r="G112">
        <v>1</v>
      </c>
      <c r="H112">
        <v>0</v>
      </c>
      <c r="I112" t="s">
        <v>13</v>
      </c>
      <c r="J112" t="s">
        <v>222</v>
      </c>
      <c r="K112" s="11">
        <v>3</v>
      </c>
      <c r="L112" t="s">
        <v>219</v>
      </c>
      <c r="M112">
        <v>3</v>
      </c>
      <c r="N112" t="s">
        <v>245</v>
      </c>
    </row>
    <row r="113" spans="1:14" x14ac:dyDescent="0.3">
      <c r="A113" t="s">
        <v>166</v>
      </c>
      <c r="B113" s="1">
        <v>45685</v>
      </c>
      <c r="C113" t="s">
        <v>165</v>
      </c>
      <c r="D113">
        <v>17</v>
      </c>
      <c r="E113">
        <v>82</v>
      </c>
      <c r="F113">
        <v>2</v>
      </c>
      <c r="G113">
        <v>0</v>
      </c>
      <c r="H113">
        <v>7</v>
      </c>
      <c r="I113" t="s">
        <v>28</v>
      </c>
      <c r="J113" t="s">
        <v>218</v>
      </c>
      <c r="K113" s="11">
        <v>9</v>
      </c>
      <c r="L113" t="s">
        <v>220</v>
      </c>
      <c r="M113">
        <v>1</v>
      </c>
      <c r="N113" t="s">
        <v>243</v>
      </c>
    </row>
    <row r="114" spans="1:14" x14ac:dyDescent="0.3">
      <c r="A114" t="s">
        <v>167</v>
      </c>
      <c r="B114" s="1">
        <v>45716</v>
      </c>
      <c r="C114" t="s">
        <v>168</v>
      </c>
      <c r="D114">
        <v>20</v>
      </c>
      <c r="E114">
        <v>84</v>
      </c>
      <c r="F114">
        <v>1</v>
      </c>
      <c r="G114">
        <v>4</v>
      </c>
      <c r="H114">
        <v>2</v>
      </c>
      <c r="I114" t="s">
        <v>22</v>
      </c>
      <c r="J114" t="s">
        <v>221</v>
      </c>
      <c r="K114" s="11">
        <v>7</v>
      </c>
      <c r="L114" t="s">
        <v>220</v>
      </c>
      <c r="M114">
        <v>2</v>
      </c>
      <c r="N114" t="s">
        <v>244</v>
      </c>
    </row>
    <row r="115" spans="1:14" x14ac:dyDescent="0.3">
      <c r="A115" t="s">
        <v>169</v>
      </c>
      <c r="B115" s="1">
        <v>45673</v>
      </c>
      <c r="C115" t="s">
        <v>168</v>
      </c>
      <c r="D115">
        <v>20</v>
      </c>
      <c r="E115">
        <v>83</v>
      </c>
      <c r="F115">
        <v>2</v>
      </c>
      <c r="G115">
        <v>4</v>
      </c>
      <c r="H115">
        <v>0</v>
      </c>
      <c r="I115" t="s">
        <v>28</v>
      </c>
      <c r="J115" t="s">
        <v>218</v>
      </c>
      <c r="K115" s="11">
        <v>6</v>
      </c>
      <c r="L115" t="s">
        <v>220</v>
      </c>
      <c r="M115">
        <v>1</v>
      </c>
      <c r="N115" t="s">
        <v>243</v>
      </c>
    </row>
    <row r="116" spans="1:14" x14ac:dyDescent="0.3">
      <c r="A116" t="s">
        <v>170</v>
      </c>
      <c r="B116" s="1">
        <v>45668</v>
      </c>
      <c r="C116" t="s">
        <v>168</v>
      </c>
      <c r="D116">
        <v>5</v>
      </c>
      <c r="E116">
        <v>86</v>
      </c>
      <c r="F116">
        <v>0</v>
      </c>
      <c r="G116">
        <v>0</v>
      </c>
      <c r="H116">
        <v>3</v>
      </c>
      <c r="I116" t="s">
        <v>43</v>
      </c>
      <c r="J116" t="s">
        <v>218</v>
      </c>
      <c r="K116" s="11">
        <v>3</v>
      </c>
      <c r="L116" t="s">
        <v>220</v>
      </c>
      <c r="M116">
        <v>1</v>
      </c>
      <c r="N116" t="s">
        <v>243</v>
      </c>
    </row>
    <row r="117" spans="1:14" x14ac:dyDescent="0.3">
      <c r="A117" t="s">
        <v>171</v>
      </c>
      <c r="B117" s="1">
        <v>45695</v>
      </c>
      <c r="C117" t="s">
        <v>172</v>
      </c>
      <c r="D117">
        <v>7</v>
      </c>
      <c r="E117">
        <v>83</v>
      </c>
      <c r="F117">
        <v>2</v>
      </c>
      <c r="G117">
        <v>1</v>
      </c>
      <c r="H117">
        <v>2</v>
      </c>
      <c r="I117" t="s">
        <v>13</v>
      </c>
      <c r="J117" t="s">
        <v>221</v>
      </c>
      <c r="K117" s="11">
        <v>5</v>
      </c>
      <c r="L117" t="s">
        <v>220</v>
      </c>
      <c r="M117">
        <v>2</v>
      </c>
      <c r="N117" t="s">
        <v>244</v>
      </c>
    </row>
    <row r="118" spans="1:14" x14ac:dyDescent="0.3">
      <c r="A118" t="s">
        <v>173</v>
      </c>
      <c r="B118" s="1">
        <v>45672</v>
      </c>
      <c r="C118" t="s">
        <v>172</v>
      </c>
      <c r="D118">
        <v>14</v>
      </c>
      <c r="E118">
        <v>77</v>
      </c>
      <c r="F118">
        <v>1</v>
      </c>
      <c r="G118">
        <v>1</v>
      </c>
      <c r="H118">
        <v>5</v>
      </c>
      <c r="I118" t="s">
        <v>15</v>
      </c>
      <c r="J118" t="s">
        <v>218</v>
      </c>
      <c r="K118" s="11">
        <v>7</v>
      </c>
      <c r="L118" t="s">
        <v>219</v>
      </c>
      <c r="M118">
        <v>1</v>
      </c>
      <c r="N118" t="s">
        <v>243</v>
      </c>
    </row>
    <row r="119" spans="1:14" x14ac:dyDescent="0.3">
      <c r="A119" t="s">
        <v>174</v>
      </c>
      <c r="B119" s="1">
        <v>45668</v>
      </c>
      <c r="C119" t="s">
        <v>172</v>
      </c>
      <c r="D119">
        <v>15</v>
      </c>
      <c r="E119">
        <v>93</v>
      </c>
      <c r="F119">
        <v>2</v>
      </c>
      <c r="G119">
        <v>0</v>
      </c>
      <c r="H119">
        <v>5</v>
      </c>
      <c r="I119" t="s">
        <v>43</v>
      </c>
      <c r="J119" t="s">
        <v>218</v>
      </c>
      <c r="K119" s="11">
        <v>7</v>
      </c>
      <c r="L119" t="s">
        <v>220</v>
      </c>
      <c r="M119">
        <v>1</v>
      </c>
      <c r="N119" t="s">
        <v>243</v>
      </c>
    </row>
    <row r="120" spans="1:14" x14ac:dyDescent="0.3">
      <c r="A120" t="s">
        <v>175</v>
      </c>
      <c r="B120" s="1">
        <v>45726</v>
      </c>
      <c r="C120" t="s">
        <v>176</v>
      </c>
      <c r="D120">
        <v>13</v>
      </c>
      <c r="E120">
        <v>93</v>
      </c>
      <c r="F120">
        <v>0</v>
      </c>
      <c r="G120">
        <v>1</v>
      </c>
      <c r="H120">
        <v>3</v>
      </c>
      <c r="I120" t="s">
        <v>22</v>
      </c>
      <c r="J120" t="s">
        <v>222</v>
      </c>
      <c r="K120" s="11">
        <v>4</v>
      </c>
      <c r="L120" t="s">
        <v>220</v>
      </c>
      <c r="M120">
        <v>3</v>
      </c>
      <c r="N120" t="s">
        <v>245</v>
      </c>
    </row>
    <row r="121" spans="1:14" x14ac:dyDescent="0.3">
      <c r="A121" t="s">
        <v>177</v>
      </c>
      <c r="B121" s="1">
        <v>45667</v>
      </c>
      <c r="C121" t="s">
        <v>176</v>
      </c>
      <c r="D121">
        <v>12</v>
      </c>
      <c r="E121">
        <v>99</v>
      </c>
      <c r="F121">
        <v>1</v>
      </c>
      <c r="G121">
        <v>1</v>
      </c>
      <c r="H121">
        <v>2</v>
      </c>
      <c r="I121" t="s">
        <v>34</v>
      </c>
      <c r="J121" t="s">
        <v>218</v>
      </c>
      <c r="K121" s="11">
        <v>4</v>
      </c>
      <c r="L121" t="s">
        <v>220</v>
      </c>
      <c r="M121">
        <v>1</v>
      </c>
      <c r="N121" t="s">
        <v>243</v>
      </c>
    </row>
    <row r="122" spans="1:14" x14ac:dyDescent="0.3">
      <c r="A122" t="s">
        <v>178</v>
      </c>
      <c r="B122" s="1">
        <v>45711</v>
      </c>
      <c r="C122" t="s">
        <v>176</v>
      </c>
      <c r="D122">
        <v>5</v>
      </c>
      <c r="E122">
        <v>77</v>
      </c>
      <c r="F122">
        <v>1</v>
      </c>
      <c r="G122">
        <v>3</v>
      </c>
      <c r="H122">
        <v>0</v>
      </c>
      <c r="I122" t="s">
        <v>43</v>
      </c>
      <c r="J122" t="s">
        <v>221</v>
      </c>
      <c r="K122" s="11">
        <v>4</v>
      </c>
      <c r="L122" t="s">
        <v>219</v>
      </c>
      <c r="M122">
        <v>2</v>
      </c>
      <c r="N122" t="s">
        <v>244</v>
      </c>
    </row>
    <row r="123" spans="1:14" x14ac:dyDescent="0.3">
      <c r="A123" t="s">
        <v>179</v>
      </c>
      <c r="B123" s="1">
        <v>45703</v>
      </c>
      <c r="C123" t="s">
        <v>180</v>
      </c>
      <c r="D123">
        <v>5</v>
      </c>
      <c r="E123">
        <v>85</v>
      </c>
      <c r="F123">
        <v>0</v>
      </c>
      <c r="G123">
        <v>0</v>
      </c>
      <c r="H123">
        <v>3</v>
      </c>
      <c r="I123" t="s">
        <v>43</v>
      </c>
      <c r="J123" t="s">
        <v>221</v>
      </c>
      <c r="K123" s="11">
        <v>3</v>
      </c>
      <c r="L123" t="s">
        <v>220</v>
      </c>
      <c r="M123">
        <v>2</v>
      </c>
      <c r="N123" t="s">
        <v>244</v>
      </c>
    </row>
    <row r="124" spans="1:14" x14ac:dyDescent="0.3">
      <c r="A124" t="s">
        <v>181</v>
      </c>
      <c r="B124" s="1">
        <v>45664</v>
      </c>
      <c r="C124" t="s">
        <v>180</v>
      </c>
      <c r="D124">
        <v>17</v>
      </c>
      <c r="E124">
        <v>90</v>
      </c>
      <c r="F124">
        <v>1</v>
      </c>
      <c r="G124">
        <v>1</v>
      </c>
      <c r="H124">
        <v>2</v>
      </c>
      <c r="I124" t="s">
        <v>13</v>
      </c>
      <c r="J124" t="s">
        <v>218</v>
      </c>
      <c r="K124" s="11">
        <v>4</v>
      </c>
      <c r="L124" t="s">
        <v>220</v>
      </c>
      <c r="M124">
        <v>1</v>
      </c>
      <c r="N124" t="s">
        <v>243</v>
      </c>
    </row>
    <row r="125" spans="1:14" x14ac:dyDescent="0.3">
      <c r="A125" t="s">
        <v>182</v>
      </c>
      <c r="B125" s="1">
        <v>45695</v>
      </c>
      <c r="C125" t="s">
        <v>180</v>
      </c>
      <c r="D125">
        <v>7</v>
      </c>
      <c r="E125">
        <v>95</v>
      </c>
      <c r="F125">
        <v>0</v>
      </c>
      <c r="G125">
        <v>4</v>
      </c>
      <c r="H125">
        <v>3</v>
      </c>
      <c r="I125" t="s">
        <v>13</v>
      </c>
      <c r="J125" t="s">
        <v>221</v>
      </c>
      <c r="K125" s="11">
        <v>7</v>
      </c>
      <c r="L125" t="s">
        <v>220</v>
      </c>
      <c r="M125">
        <v>2</v>
      </c>
      <c r="N125" t="s">
        <v>244</v>
      </c>
    </row>
    <row r="126" spans="1:14" x14ac:dyDescent="0.3">
      <c r="A126" t="s">
        <v>183</v>
      </c>
      <c r="B126" s="1">
        <v>45699</v>
      </c>
      <c r="C126" t="s">
        <v>184</v>
      </c>
      <c r="D126">
        <v>6</v>
      </c>
      <c r="E126">
        <v>89</v>
      </c>
      <c r="F126">
        <v>1</v>
      </c>
      <c r="G126">
        <v>2</v>
      </c>
      <c r="H126">
        <v>5</v>
      </c>
      <c r="I126" t="s">
        <v>46</v>
      </c>
      <c r="J126" t="s">
        <v>221</v>
      </c>
      <c r="K126" s="11">
        <v>8</v>
      </c>
      <c r="L126" t="s">
        <v>220</v>
      </c>
      <c r="M126">
        <v>2</v>
      </c>
      <c r="N126" t="s">
        <v>244</v>
      </c>
    </row>
    <row r="127" spans="1:14" x14ac:dyDescent="0.3">
      <c r="A127" t="s">
        <v>185</v>
      </c>
      <c r="B127" s="1">
        <v>45700</v>
      </c>
      <c r="C127" t="s">
        <v>184</v>
      </c>
      <c r="D127">
        <v>12</v>
      </c>
      <c r="E127">
        <v>73</v>
      </c>
      <c r="F127">
        <v>0</v>
      </c>
      <c r="G127">
        <v>0</v>
      </c>
      <c r="H127">
        <v>7</v>
      </c>
      <c r="I127" t="s">
        <v>34</v>
      </c>
      <c r="J127" t="s">
        <v>221</v>
      </c>
      <c r="K127" s="11">
        <v>7</v>
      </c>
      <c r="L127" t="s">
        <v>219</v>
      </c>
      <c r="M127">
        <v>2</v>
      </c>
      <c r="N127" t="s">
        <v>244</v>
      </c>
    </row>
    <row r="128" spans="1:14" x14ac:dyDescent="0.3">
      <c r="A128" t="s">
        <v>186</v>
      </c>
      <c r="B128" s="1">
        <v>45658</v>
      </c>
      <c r="C128" t="s">
        <v>184</v>
      </c>
      <c r="D128">
        <v>5</v>
      </c>
      <c r="E128">
        <v>97</v>
      </c>
      <c r="F128">
        <v>2</v>
      </c>
      <c r="G128">
        <v>3</v>
      </c>
      <c r="H128">
        <v>2</v>
      </c>
      <c r="I128" t="s">
        <v>15</v>
      </c>
      <c r="J128" t="s">
        <v>218</v>
      </c>
      <c r="K128" s="11">
        <v>7</v>
      </c>
      <c r="L128" t="s">
        <v>220</v>
      </c>
      <c r="M128">
        <v>1</v>
      </c>
      <c r="N128" t="s">
        <v>243</v>
      </c>
    </row>
    <row r="129" spans="1:14" x14ac:dyDescent="0.3">
      <c r="A129" t="s">
        <v>187</v>
      </c>
      <c r="B129" s="1">
        <v>45702</v>
      </c>
      <c r="C129" t="s">
        <v>188</v>
      </c>
      <c r="D129">
        <v>7</v>
      </c>
      <c r="E129">
        <v>88</v>
      </c>
      <c r="F129">
        <v>0</v>
      </c>
      <c r="G129">
        <v>1</v>
      </c>
      <c r="H129">
        <v>6</v>
      </c>
      <c r="I129" t="s">
        <v>28</v>
      </c>
      <c r="J129" t="s">
        <v>221</v>
      </c>
      <c r="K129" s="11">
        <v>7</v>
      </c>
      <c r="L129" t="s">
        <v>220</v>
      </c>
      <c r="M129">
        <v>2</v>
      </c>
      <c r="N129" t="s">
        <v>244</v>
      </c>
    </row>
    <row r="130" spans="1:14" x14ac:dyDescent="0.3">
      <c r="A130" t="s">
        <v>189</v>
      </c>
      <c r="B130" s="1">
        <v>45734</v>
      </c>
      <c r="C130" t="s">
        <v>188</v>
      </c>
      <c r="D130">
        <v>6</v>
      </c>
      <c r="E130">
        <v>81</v>
      </c>
      <c r="F130">
        <v>2</v>
      </c>
      <c r="G130">
        <v>1</v>
      </c>
      <c r="H130">
        <v>0</v>
      </c>
      <c r="I130" t="s">
        <v>28</v>
      </c>
      <c r="J130" t="s">
        <v>222</v>
      </c>
      <c r="K130" s="11">
        <v>3</v>
      </c>
      <c r="L130" t="s">
        <v>220</v>
      </c>
      <c r="M130">
        <v>3</v>
      </c>
      <c r="N130" t="s">
        <v>245</v>
      </c>
    </row>
    <row r="131" spans="1:14" x14ac:dyDescent="0.3">
      <c r="A131" t="s">
        <v>190</v>
      </c>
      <c r="B131" s="1">
        <v>45721</v>
      </c>
      <c r="C131" t="s">
        <v>188</v>
      </c>
      <c r="D131">
        <v>15</v>
      </c>
      <c r="E131">
        <v>88</v>
      </c>
      <c r="F131">
        <v>0</v>
      </c>
      <c r="G131">
        <v>4</v>
      </c>
      <c r="H131">
        <v>1</v>
      </c>
      <c r="I131" t="s">
        <v>15</v>
      </c>
      <c r="J131" t="s">
        <v>222</v>
      </c>
      <c r="K131" s="11">
        <v>5</v>
      </c>
      <c r="L131" t="s">
        <v>220</v>
      </c>
      <c r="M131">
        <v>3</v>
      </c>
      <c r="N131" t="s">
        <v>245</v>
      </c>
    </row>
    <row r="132" spans="1:14" x14ac:dyDescent="0.3">
      <c r="A132" t="s">
        <v>191</v>
      </c>
      <c r="B132" s="1">
        <v>45681</v>
      </c>
      <c r="C132" t="s">
        <v>192</v>
      </c>
      <c r="D132">
        <v>20</v>
      </c>
      <c r="E132">
        <v>82</v>
      </c>
      <c r="F132">
        <v>0</v>
      </c>
      <c r="G132">
        <v>0</v>
      </c>
      <c r="H132">
        <v>5</v>
      </c>
      <c r="I132" t="s">
        <v>13</v>
      </c>
      <c r="J132" t="s">
        <v>218</v>
      </c>
      <c r="K132" s="11">
        <v>5</v>
      </c>
      <c r="L132" t="s">
        <v>220</v>
      </c>
      <c r="M132">
        <v>1</v>
      </c>
      <c r="N132" t="s">
        <v>243</v>
      </c>
    </row>
    <row r="133" spans="1:14" x14ac:dyDescent="0.3">
      <c r="A133" t="s">
        <v>193</v>
      </c>
      <c r="B133" s="1">
        <v>45667</v>
      </c>
      <c r="C133" t="s">
        <v>192</v>
      </c>
      <c r="D133">
        <v>16</v>
      </c>
      <c r="E133">
        <v>86</v>
      </c>
      <c r="F133">
        <v>0</v>
      </c>
      <c r="G133">
        <v>4</v>
      </c>
      <c r="H133">
        <v>1</v>
      </c>
      <c r="I133" t="s">
        <v>13</v>
      </c>
      <c r="J133" t="s">
        <v>218</v>
      </c>
      <c r="K133" s="11">
        <v>5</v>
      </c>
      <c r="L133" t="s">
        <v>220</v>
      </c>
      <c r="M133">
        <v>1</v>
      </c>
      <c r="N133" t="s">
        <v>243</v>
      </c>
    </row>
    <row r="134" spans="1:14" x14ac:dyDescent="0.3">
      <c r="A134" t="s">
        <v>194</v>
      </c>
      <c r="B134" s="1">
        <v>45736</v>
      </c>
      <c r="C134" t="s">
        <v>192</v>
      </c>
      <c r="D134">
        <v>5</v>
      </c>
      <c r="E134">
        <v>73</v>
      </c>
      <c r="F134">
        <v>2</v>
      </c>
      <c r="G134">
        <v>1</v>
      </c>
      <c r="H134">
        <v>2</v>
      </c>
      <c r="I134" t="s">
        <v>11</v>
      </c>
      <c r="J134" t="s">
        <v>222</v>
      </c>
      <c r="K134" s="11">
        <v>5</v>
      </c>
      <c r="L134" t="s">
        <v>219</v>
      </c>
      <c r="M134">
        <v>3</v>
      </c>
      <c r="N134" t="s">
        <v>245</v>
      </c>
    </row>
    <row r="135" spans="1:14" x14ac:dyDescent="0.3">
      <c r="A135" t="s">
        <v>195</v>
      </c>
      <c r="B135" s="1">
        <v>45733</v>
      </c>
      <c r="C135" t="s">
        <v>196</v>
      </c>
      <c r="D135">
        <v>16</v>
      </c>
      <c r="E135">
        <v>90</v>
      </c>
      <c r="F135">
        <v>2</v>
      </c>
      <c r="G135">
        <v>2</v>
      </c>
      <c r="H135">
        <v>5</v>
      </c>
      <c r="I135" t="s">
        <v>46</v>
      </c>
      <c r="J135" t="s">
        <v>222</v>
      </c>
      <c r="K135" s="11">
        <v>9</v>
      </c>
      <c r="L135" t="s">
        <v>220</v>
      </c>
      <c r="M135">
        <v>3</v>
      </c>
      <c r="N135" t="s">
        <v>245</v>
      </c>
    </row>
    <row r="136" spans="1:14" x14ac:dyDescent="0.3">
      <c r="A136" t="s">
        <v>197</v>
      </c>
      <c r="B136" s="1">
        <v>45678</v>
      </c>
      <c r="C136" t="s">
        <v>196</v>
      </c>
      <c r="D136">
        <v>14</v>
      </c>
      <c r="E136">
        <v>94</v>
      </c>
      <c r="F136">
        <v>2</v>
      </c>
      <c r="G136">
        <v>3</v>
      </c>
      <c r="H136">
        <v>5</v>
      </c>
      <c r="I136" t="s">
        <v>34</v>
      </c>
      <c r="J136" t="s">
        <v>218</v>
      </c>
      <c r="K136" s="11">
        <v>10</v>
      </c>
      <c r="L136" t="s">
        <v>220</v>
      </c>
      <c r="M136">
        <v>1</v>
      </c>
      <c r="N136" t="s">
        <v>243</v>
      </c>
    </row>
    <row r="137" spans="1:14" x14ac:dyDescent="0.3">
      <c r="A137" t="s">
        <v>198</v>
      </c>
      <c r="B137" s="1">
        <v>45672</v>
      </c>
      <c r="C137" t="s">
        <v>196</v>
      </c>
      <c r="D137">
        <v>10</v>
      </c>
      <c r="E137">
        <v>94</v>
      </c>
      <c r="F137">
        <v>2</v>
      </c>
      <c r="G137">
        <v>1</v>
      </c>
      <c r="H137">
        <v>5</v>
      </c>
      <c r="I137" t="s">
        <v>34</v>
      </c>
      <c r="J137" t="s">
        <v>218</v>
      </c>
      <c r="K137" s="11">
        <v>8</v>
      </c>
      <c r="L137" t="s">
        <v>220</v>
      </c>
      <c r="M137">
        <v>1</v>
      </c>
      <c r="N137" t="s">
        <v>243</v>
      </c>
    </row>
    <row r="138" spans="1:14" x14ac:dyDescent="0.3">
      <c r="A138" t="s">
        <v>199</v>
      </c>
      <c r="B138" s="1">
        <v>45740</v>
      </c>
      <c r="C138" t="s">
        <v>200</v>
      </c>
      <c r="D138">
        <v>9</v>
      </c>
      <c r="E138">
        <v>78</v>
      </c>
      <c r="F138">
        <v>2</v>
      </c>
      <c r="G138">
        <v>4</v>
      </c>
      <c r="H138">
        <v>3</v>
      </c>
      <c r="I138" t="s">
        <v>13</v>
      </c>
      <c r="J138" t="s">
        <v>222</v>
      </c>
      <c r="K138" s="11">
        <v>9</v>
      </c>
      <c r="L138" t="s">
        <v>219</v>
      </c>
      <c r="M138">
        <v>3</v>
      </c>
      <c r="N138" t="s">
        <v>245</v>
      </c>
    </row>
    <row r="139" spans="1:14" x14ac:dyDescent="0.3">
      <c r="A139" t="s">
        <v>201</v>
      </c>
      <c r="B139" s="1">
        <v>45677</v>
      </c>
      <c r="C139" t="s">
        <v>200</v>
      </c>
      <c r="D139">
        <v>6</v>
      </c>
      <c r="E139">
        <v>93</v>
      </c>
      <c r="F139">
        <v>2</v>
      </c>
      <c r="G139">
        <v>2</v>
      </c>
      <c r="H139">
        <v>5</v>
      </c>
      <c r="I139" t="s">
        <v>11</v>
      </c>
      <c r="J139" t="s">
        <v>218</v>
      </c>
      <c r="K139" s="11">
        <v>9</v>
      </c>
      <c r="L139" t="s">
        <v>220</v>
      </c>
      <c r="M139">
        <v>1</v>
      </c>
      <c r="N139" t="s">
        <v>243</v>
      </c>
    </row>
    <row r="140" spans="1:14" x14ac:dyDescent="0.3">
      <c r="A140" t="s">
        <v>202</v>
      </c>
      <c r="B140" s="1">
        <v>45737</v>
      </c>
      <c r="C140" t="s">
        <v>200</v>
      </c>
      <c r="D140">
        <v>20</v>
      </c>
      <c r="E140">
        <v>86</v>
      </c>
      <c r="F140">
        <v>2</v>
      </c>
      <c r="G140">
        <v>0</v>
      </c>
      <c r="H140">
        <v>0</v>
      </c>
      <c r="I140" t="s">
        <v>15</v>
      </c>
      <c r="J140" t="s">
        <v>222</v>
      </c>
      <c r="K140" s="11">
        <v>2</v>
      </c>
      <c r="L140" t="s">
        <v>220</v>
      </c>
      <c r="M140">
        <v>3</v>
      </c>
      <c r="N140" t="s">
        <v>245</v>
      </c>
    </row>
    <row r="141" spans="1:14" x14ac:dyDescent="0.3">
      <c r="A141" t="s">
        <v>203</v>
      </c>
      <c r="B141" s="1">
        <v>45676</v>
      </c>
      <c r="C141" t="s">
        <v>204</v>
      </c>
      <c r="D141">
        <v>8</v>
      </c>
      <c r="E141">
        <v>80</v>
      </c>
      <c r="F141">
        <v>2</v>
      </c>
      <c r="G141">
        <v>0</v>
      </c>
      <c r="H141">
        <v>3</v>
      </c>
      <c r="I141" t="s">
        <v>34</v>
      </c>
      <c r="J141" t="s">
        <v>218</v>
      </c>
      <c r="K141" s="11">
        <v>5</v>
      </c>
      <c r="L141" t="s">
        <v>220</v>
      </c>
      <c r="M141">
        <v>1</v>
      </c>
      <c r="N141" t="s">
        <v>243</v>
      </c>
    </row>
    <row r="142" spans="1:14" x14ac:dyDescent="0.3">
      <c r="A142" t="s">
        <v>205</v>
      </c>
      <c r="B142" s="1">
        <v>45699</v>
      </c>
      <c r="C142" t="s">
        <v>204</v>
      </c>
      <c r="D142">
        <v>7</v>
      </c>
      <c r="E142">
        <v>87</v>
      </c>
      <c r="F142">
        <v>2</v>
      </c>
      <c r="G142">
        <v>3</v>
      </c>
      <c r="H142">
        <v>3</v>
      </c>
      <c r="I142" t="s">
        <v>46</v>
      </c>
      <c r="J142" t="s">
        <v>221</v>
      </c>
      <c r="K142" s="11">
        <v>8</v>
      </c>
      <c r="L142" t="s">
        <v>220</v>
      </c>
      <c r="M142">
        <v>2</v>
      </c>
      <c r="N142" t="s">
        <v>244</v>
      </c>
    </row>
    <row r="143" spans="1:14" x14ac:dyDescent="0.3">
      <c r="A143" t="s">
        <v>206</v>
      </c>
      <c r="B143" s="1">
        <v>45744</v>
      </c>
      <c r="C143" t="s">
        <v>204</v>
      </c>
      <c r="D143">
        <v>8</v>
      </c>
      <c r="E143">
        <v>96</v>
      </c>
      <c r="F143">
        <v>1</v>
      </c>
      <c r="G143">
        <v>1</v>
      </c>
      <c r="H143">
        <v>6</v>
      </c>
      <c r="I143" t="s">
        <v>22</v>
      </c>
      <c r="J143" t="s">
        <v>222</v>
      </c>
      <c r="K143" s="11">
        <v>8</v>
      </c>
      <c r="L143" t="s">
        <v>220</v>
      </c>
      <c r="M143">
        <v>3</v>
      </c>
      <c r="N143" t="s">
        <v>245</v>
      </c>
    </row>
    <row r="144" spans="1:14" x14ac:dyDescent="0.3">
      <c r="A144" t="s">
        <v>207</v>
      </c>
      <c r="B144" s="1">
        <v>45661</v>
      </c>
      <c r="C144" t="s">
        <v>208</v>
      </c>
      <c r="D144">
        <v>7</v>
      </c>
      <c r="E144">
        <v>80</v>
      </c>
      <c r="F144">
        <v>1</v>
      </c>
      <c r="G144">
        <v>0</v>
      </c>
      <c r="H144">
        <v>6</v>
      </c>
      <c r="I144" t="s">
        <v>22</v>
      </c>
      <c r="J144" t="s">
        <v>218</v>
      </c>
      <c r="K144" s="11">
        <v>7</v>
      </c>
      <c r="L144" t="s">
        <v>220</v>
      </c>
      <c r="M144">
        <v>1</v>
      </c>
      <c r="N144" t="s">
        <v>243</v>
      </c>
    </row>
    <row r="145" spans="1:14" x14ac:dyDescent="0.3">
      <c r="A145" t="s">
        <v>209</v>
      </c>
      <c r="B145" s="1">
        <v>45689</v>
      </c>
      <c r="C145" t="s">
        <v>208</v>
      </c>
      <c r="D145">
        <v>5</v>
      </c>
      <c r="E145">
        <v>94</v>
      </c>
      <c r="F145">
        <v>0</v>
      </c>
      <c r="G145">
        <v>0</v>
      </c>
      <c r="H145">
        <v>6</v>
      </c>
      <c r="I145" t="s">
        <v>46</v>
      </c>
      <c r="J145" t="s">
        <v>221</v>
      </c>
      <c r="K145" s="11">
        <v>6</v>
      </c>
      <c r="L145" t="s">
        <v>220</v>
      </c>
      <c r="M145">
        <v>2</v>
      </c>
      <c r="N145" t="s">
        <v>244</v>
      </c>
    </row>
    <row r="146" spans="1:14" x14ac:dyDescent="0.3">
      <c r="A146" t="s">
        <v>210</v>
      </c>
      <c r="B146" s="1">
        <v>45696</v>
      </c>
      <c r="C146" t="s">
        <v>208</v>
      </c>
      <c r="D146">
        <v>16</v>
      </c>
      <c r="E146">
        <v>76</v>
      </c>
      <c r="F146">
        <v>1</v>
      </c>
      <c r="G146">
        <v>2</v>
      </c>
      <c r="H146">
        <v>6</v>
      </c>
      <c r="I146" t="s">
        <v>46</v>
      </c>
      <c r="J146" t="s">
        <v>221</v>
      </c>
      <c r="K146" s="11">
        <v>9</v>
      </c>
      <c r="L146" t="s">
        <v>219</v>
      </c>
      <c r="M146">
        <v>2</v>
      </c>
      <c r="N146" t="s">
        <v>244</v>
      </c>
    </row>
    <row r="147" spans="1:14" x14ac:dyDescent="0.3">
      <c r="A147" t="s">
        <v>211</v>
      </c>
      <c r="B147" s="1">
        <v>45684</v>
      </c>
      <c r="C147" t="s">
        <v>212</v>
      </c>
      <c r="D147">
        <v>5</v>
      </c>
      <c r="E147">
        <v>77</v>
      </c>
      <c r="F147">
        <v>2</v>
      </c>
      <c r="G147">
        <v>2</v>
      </c>
      <c r="H147">
        <v>4</v>
      </c>
      <c r="I147" t="s">
        <v>11</v>
      </c>
      <c r="J147" t="s">
        <v>218</v>
      </c>
      <c r="K147" s="11">
        <v>8</v>
      </c>
      <c r="L147" t="s">
        <v>219</v>
      </c>
      <c r="M147">
        <v>1</v>
      </c>
      <c r="N147" t="s">
        <v>243</v>
      </c>
    </row>
    <row r="148" spans="1:14" x14ac:dyDescent="0.3">
      <c r="A148" t="s">
        <v>213</v>
      </c>
      <c r="B148" s="1">
        <v>45670</v>
      </c>
      <c r="C148" t="s">
        <v>212</v>
      </c>
      <c r="D148">
        <v>6</v>
      </c>
      <c r="E148">
        <v>72</v>
      </c>
      <c r="F148">
        <v>0</v>
      </c>
      <c r="G148">
        <v>0</v>
      </c>
      <c r="H148">
        <v>8</v>
      </c>
      <c r="I148" t="s">
        <v>43</v>
      </c>
      <c r="J148" t="s">
        <v>218</v>
      </c>
      <c r="K148" s="11">
        <v>8</v>
      </c>
      <c r="L148" t="s">
        <v>219</v>
      </c>
      <c r="M148">
        <v>1</v>
      </c>
      <c r="N148" t="s">
        <v>243</v>
      </c>
    </row>
    <row r="149" spans="1:14" x14ac:dyDescent="0.3">
      <c r="A149" t="s">
        <v>214</v>
      </c>
      <c r="B149" s="1">
        <v>45685</v>
      </c>
      <c r="C149" t="s">
        <v>212</v>
      </c>
      <c r="D149">
        <v>12</v>
      </c>
      <c r="E149">
        <v>100</v>
      </c>
      <c r="F149">
        <v>2</v>
      </c>
      <c r="G149">
        <v>3</v>
      </c>
      <c r="H149">
        <v>4</v>
      </c>
      <c r="I149" t="s">
        <v>22</v>
      </c>
      <c r="J149" t="s">
        <v>218</v>
      </c>
      <c r="K149" s="11">
        <v>9</v>
      </c>
      <c r="L149" t="s">
        <v>220</v>
      </c>
      <c r="M149">
        <v>1</v>
      </c>
      <c r="N149" t="s">
        <v>243</v>
      </c>
    </row>
  </sheetData>
  <phoneticPr fontId="4"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825C7-BDA1-4CEE-9B50-8F28FC0D26A1}">
  <dimension ref="B1:S90"/>
  <sheetViews>
    <sheetView showGridLines="0" tabSelected="1" topLeftCell="A2" zoomScale="67" zoomScaleNormal="70" workbookViewId="0">
      <selection activeCell="W29" sqref="W29"/>
    </sheetView>
  </sheetViews>
  <sheetFormatPr defaultRowHeight="14.4" x14ac:dyDescent="0.3"/>
  <cols>
    <col min="1" max="1" width="3.33203125" customWidth="1"/>
    <col min="2" max="2" width="21.44140625" bestFit="1" customWidth="1"/>
    <col min="3" max="3" width="18.5546875" bestFit="1" customWidth="1"/>
    <col min="4" max="4" width="7" customWidth="1"/>
    <col min="5" max="5" width="16.6640625" bestFit="1" customWidth="1"/>
    <col min="6" max="6" width="23.6640625" bestFit="1" customWidth="1"/>
    <col min="7" max="7" width="21.5546875" bestFit="1" customWidth="1"/>
    <col min="8" max="8" width="19.33203125" bestFit="1" customWidth="1"/>
    <col min="9" max="9" width="6.33203125" customWidth="1"/>
    <col min="10" max="10" width="22" bestFit="1" customWidth="1"/>
    <col min="11" max="11" width="13.5546875" bestFit="1" customWidth="1"/>
    <col min="12" max="12" width="18.33203125" bestFit="1" customWidth="1"/>
    <col min="14" max="14" width="16.5546875" bestFit="1" customWidth="1"/>
    <col min="15" max="15" width="14.6640625" bestFit="1" customWidth="1"/>
    <col min="16" max="16" width="14.77734375" bestFit="1" customWidth="1"/>
    <col min="17" max="17" width="18" customWidth="1"/>
    <col min="18" max="18" width="21.6640625" hidden="1" customWidth="1"/>
    <col min="19" max="19" width="22.6640625" hidden="1" customWidth="1"/>
  </cols>
  <sheetData>
    <row r="1" spans="2:19" ht="8.4" customHeight="1" x14ac:dyDescent="0.3"/>
    <row r="2" spans="2:19" ht="25.8" x14ac:dyDescent="0.5">
      <c r="H2" s="10" t="s">
        <v>240</v>
      </c>
      <c r="I2" s="10"/>
    </row>
    <row r="3" spans="2:19" x14ac:dyDescent="0.3">
      <c r="K3" s="7">
        <f>K5+K6</f>
        <v>148</v>
      </c>
    </row>
    <row r="4" spans="2:19" s="26" customFormat="1" ht="18" x14ac:dyDescent="0.3">
      <c r="B4" s="25"/>
      <c r="C4" s="25"/>
      <c r="E4" s="27" t="s">
        <v>225</v>
      </c>
      <c r="F4" s="27" t="s">
        <v>226</v>
      </c>
      <c r="G4" s="27" t="s">
        <v>227</v>
      </c>
      <c r="H4" s="27" t="s">
        <v>228</v>
      </c>
      <c r="J4" s="28" t="s">
        <v>229</v>
      </c>
      <c r="K4" s="27" t="s">
        <v>238</v>
      </c>
      <c r="L4" s="29" t="s">
        <v>230</v>
      </c>
    </row>
    <row r="5" spans="2:19" ht="23.4" x14ac:dyDescent="0.3">
      <c r="B5" s="14" t="s">
        <v>246</v>
      </c>
      <c r="C5" s="24" t="s" vm="1">
        <v>237</v>
      </c>
      <c r="D5" s="9"/>
      <c r="E5" s="15">
        <v>1792</v>
      </c>
      <c r="F5" s="16">
        <v>83.736486486486484</v>
      </c>
      <c r="G5" s="16">
        <v>70</v>
      </c>
      <c r="H5" s="16">
        <v>100</v>
      </c>
      <c r="I5" s="17"/>
      <c r="J5" s="18" t="s">
        <v>220</v>
      </c>
      <c r="K5" s="19">
        <v>96</v>
      </c>
      <c r="L5" s="20">
        <f>(K5/K3)</f>
        <v>0.64864864864864868</v>
      </c>
      <c r="M5" s="17"/>
    </row>
    <row r="6" spans="2:19" ht="18" x14ac:dyDescent="0.3">
      <c r="J6" s="18" t="s">
        <v>219</v>
      </c>
      <c r="K6" s="19">
        <v>52</v>
      </c>
      <c r="L6" s="20">
        <f>(K6/K3)</f>
        <v>0.35135135135135137</v>
      </c>
    </row>
    <row r="7" spans="2:19" x14ac:dyDescent="0.3">
      <c r="B7" s="4" t="s">
        <v>239</v>
      </c>
      <c r="C7" s="2" t="s">
        <v>224</v>
      </c>
    </row>
    <row r="8" spans="2:19" x14ac:dyDescent="0.3">
      <c r="B8" s="5" t="s">
        <v>232</v>
      </c>
      <c r="C8" s="12">
        <v>343</v>
      </c>
      <c r="D8" s="8"/>
    </row>
    <row r="9" spans="2:19" x14ac:dyDescent="0.3">
      <c r="B9" s="5" t="s">
        <v>233</v>
      </c>
      <c r="C9" s="12">
        <v>279</v>
      </c>
      <c r="D9" s="8"/>
    </row>
    <row r="10" spans="2:19" ht="18" x14ac:dyDescent="0.3">
      <c r="B10" s="5" t="s">
        <v>234</v>
      </c>
      <c r="C10" s="12">
        <v>398</v>
      </c>
      <c r="D10" s="8"/>
      <c r="N10" s="30" t="s">
        <v>5</v>
      </c>
      <c r="O10" s="31" t="s">
        <v>6</v>
      </c>
      <c r="P10" s="32" t="s">
        <v>7</v>
      </c>
    </row>
    <row r="11" spans="2:19" ht="18" x14ac:dyDescent="0.3">
      <c r="B11" s="5" t="s">
        <v>235</v>
      </c>
      <c r="C11" s="12">
        <v>445</v>
      </c>
      <c r="D11" s="8"/>
      <c r="N11" s="33">
        <v>154</v>
      </c>
      <c r="O11" s="33">
        <v>273</v>
      </c>
      <c r="P11" s="33">
        <v>558</v>
      </c>
    </row>
    <row r="12" spans="2:19" ht="18" x14ac:dyDescent="0.3">
      <c r="B12" s="5" t="s">
        <v>236</v>
      </c>
      <c r="C12" s="12">
        <v>327</v>
      </c>
      <c r="D12" s="8"/>
      <c r="F12" s="4" t="s">
        <v>229</v>
      </c>
      <c r="G12" s="3" t="s">
        <v>231</v>
      </c>
      <c r="N12" s="34" t="s">
        <v>216</v>
      </c>
      <c r="O12" s="35"/>
      <c r="P12" s="36"/>
    </row>
    <row r="13" spans="2:19" ht="21" x14ac:dyDescent="0.3">
      <c r="B13" s="5" t="s">
        <v>223</v>
      </c>
      <c r="C13" s="12">
        <v>1792</v>
      </c>
      <c r="D13" s="8"/>
      <c r="F13" s="5" t="s">
        <v>218</v>
      </c>
      <c r="G13" s="6">
        <v>84.421052631578945</v>
      </c>
      <c r="N13" s="21">
        <f>SUM(N11+O11+P11)</f>
        <v>985</v>
      </c>
      <c r="O13" s="22"/>
      <c r="P13" s="23"/>
    </row>
    <row r="14" spans="2:19" x14ac:dyDescent="0.3">
      <c r="D14" s="8"/>
      <c r="F14" s="5" t="s">
        <v>221</v>
      </c>
      <c r="G14" s="6">
        <v>81.681818181818187</v>
      </c>
    </row>
    <row r="15" spans="2:19" x14ac:dyDescent="0.3">
      <c r="D15" s="8"/>
      <c r="F15" s="5" t="s">
        <v>222</v>
      </c>
      <c r="G15" s="6">
        <v>84.829787234042556</v>
      </c>
      <c r="R15" s="4" t="s">
        <v>239</v>
      </c>
      <c r="S15" s="2" t="s">
        <v>247</v>
      </c>
    </row>
    <row r="16" spans="2:19" x14ac:dyDescent="0.3">
      <c r="D16" s="8"/>
      <c r="R16" s="13">
        <v>45658</v>
      </c>
      <c r="S16" s="12">
        <v>6</v>
      </c>
    </row>
    <row r="17" spans="4:19" x14ac:dyDescent="0.3">
      <c r="D17" s="8"/>
      <c r="R17" s="13">
        <v>45659</v>
      </c>
      <c r="S17" s="12">
        <v>6.5</v>
      </c>
    </row>
    <row r="18" spans="4:19" x14ac:dyDescent="0.3">
      <c r="D18" s="8"/>
      <c r="R18" s="13">
        <v>45661</v>
      </c>
      <c r="S18" s="12">
        <v>7</v>
      </c>
    </row>
    <row r="19" spans="4:19" x14ac:dyDescent="0.3">
      <c r="D19" s="8"/>
      <c r="R19" s="13">
        <v>45662</v>
      </c>
      <c r="S19" s="12">
        <v>7.666666666666667</v>
      </c>
    </row>
    <row r="20" spans="4:19" x14ac:dyDescent="0.3">
      <c r="D20" s="8"/>
      <c r="R20" s="13">
        <v>45663</v>
      </c>
      <c r="S20" s="12">
        <v>1</v>
      </c>
    </row>
    <row r="21" spans="4:19" x14ac:dyDescent="0.3">
      <c r="D21" s="8"/>
      <c r="R21" s="13">
        <v>45664</v>
      </c>
      <c r="S21" s="12">
        <v>5</v>
      </c>
    </row>
    <row r="22" spans="4:19" x14ac:dyDescent="0.3">
      <c r="D22" s="8"/>
      <c r="R22" s="13">
        <v>45667</v>
      </c>
      <c r="S22" s="12">
        <v>6.333333333333333</v>
      </c>
    </row>
    <row r="23" spans="4:19" x14ac:dyDescent="0.3">
      <c r="D23" s="8"/>
      <c r="R23" s="13">
        <v>45668</v>
      </c>
      <c r="S23" s="12">
        <v>5</v>
      </c>
    </row>
    <row r="24" spans="4:19" x14ac:dyDescent="0.3">
      <c r="D24" s="8"/>
      <c r="R24" s="13">
        <v>45669</v>
      </c>
      <c r="S24" s="12">
        <v>5.5</v>
      </c>
    </row>
    <row r="25" spans="4:19" x14ac:dyDescent="0.3">
      <c r="D25" s="8"/>
      <c r="R25" s="13">
        <v>45670</v>
      </c>
      <c r="S25" s="12">
        <v>5.5</v>
      </c>
    </row>
    <row r="26" spans="4:19" x14ac:dyDescent="0.3">
      <c r="D26" s="8"/>
      <c r="R26" s="13">
        <v>45671</v>
      </c>
      <c r="S26" s="12">
        <v>5</v>
      </c>
    </row>
    <row r="27" spans="4:19" x14ac:dyDescent="0.3">
      <c r="D27" s="8"/>
      <c r="R27" s="13">
        <v>45672</v>
      </c>
      <c r="S27" s="12">
        <v>8.75</v>
      </c>
    </row>
    <row r="28" spans="4:19" x14ac:dyDescent="0.3">
      <c r="D28" s="8"/>
      <c r="R28" s="13">
        <v>45673</v>
      </c>
      <c r="S28" s="12">
        <v>6.5</v>
      </c>
    </row>
    <row r="29" spans="4:19" x14ac:dyDescent="0.3">
      <c r="D29" s="8"/>
      <c r="R29" s="13">
        <v>45676</v>
      </c>
      <c r="S29" s="12">
        <v>7</v>
      </c>
    </row>
    <row r="30" spans="4:19" x14ac:dyDescent="0.3">
      <c r="D30" s="8"/>
      <c r="R30" s="13">
        <v>45677</v>
      </c>
      <c r="S30" s="12">
        <v>11.333333333333334</v>
      </c>
    </row>
    <row r="31" spans="4:19" x14ac:dyDescent="0.3">
      <c r="D31" s="8"/>
      <c r="R31" s="13">
        <v>45678</v>
      </c>
      <c r="S31" s="12">
        <v>7.5</v>
      </c>
    </row>
    <row r="32" spans="4:19" x14ac:dyDescent="0.3">
      <c r="D32" s="8"/>
      <c r="R32" s="13">
        <v>45679</v>
      </c>
      <c r="S32" s="12">
        <v>11</v>
      </c>
    </row>
    <row r="33" spans="4:19" x14ac:dyDescent="0.3">
      <c r="D33" s="8"/>
      <c r="R33" s="13">
        <v>45680</v>
      </c>
      <c r="S33" s="12">
        <v>4</v>
      </c>
    </row>
    <row r="34" spans="4:19" x14ac:dyDescent="0.3">
      <c r="D34" s="8"/>
      <c r="R34" s="13">
        <v>45681</v>
      </c>
      <c r="S34" s="12">
        <v>5</v>
      </c>
    </row>
    <row r="35" spans="4:19" x14ac:dyDescent="0.3">
      <c r="D35" s="8"/>
      <c r="R35" s="13">
        <v>45682</v>
      </c>
      <c r="S35" s="12">
        <v>4</v>
      </c>
    </row>
    <row r="36" spans="4:19" x14ac:dyDescent="0.3">
      <c r="D36" s="8"/>
      <c r="R36" s="13">
        <v>45683</v>
      </c>
      <c r="S36" s="12">
        <v>6</v>
      </c>
    </row>
    <row r="37" spans="4:19" x14ac:dyDescent="0.3">
      <c r="D37" s="8"/>
      <c r="R37" s="13">
        <v>45684</v>
      </c>
      <c r="S37" s="12">
        <v>5.5</v>
      </c>
    </row>
    <row r="38" spans="4:19" x14ac:dyDescent="0.3">
      <c r="D38" s="8"/>
      <c r="R38" s="13">
        <v>45685</v>
      </c>
      <c r="S38" s="12">
        <v>9</v>
      </c>
    </row>
    <row r="39" spans="4:19" x14ac:dyDescent="0.3">
      <c r="D39" s="8"/>
      <c r="R39" s="13">
        <v>45686</v>
      </c>
      <c r="S39" s="12">
        <v>4.333333333333333</v>
      </c>
    </row>
    <row r="40" spans="4:19" x14ac:dyDescent="0.3">
      <c r="D40" s="8"/>
      <c r="R40" s="13">
        <v>45687</v>
      </c>
      <c r="S40" s="12">
        <v>6.666666666666667</v>
      </c>
    </row>
    <row r="41" spans="4:19" x14ac:dyDescent="0.3">
      <c r="D41" s="8"/>
      <c r="R41" s="13">
        <v>45689</v>
      </c>
      <c r="S41" s="12">
        <v>10</v>
      </c>
    </row>
    <row r="42" spans="4:19" x14ac:dyDescent="0.3">
      <c r="D42" s="8"/>
      <c r="R42" s="13">
        <v>45691</v>
      </c>
      <c r="S42" s="12">
        <v>4</v>
      </c>
    </row>
    <row r="43" spans="4:19" x14ac:dyDescent="0.3">
      <c r="D43" s="8"/>
      <c r="R43" s="13">
        <v>45692</v>
      </c>
      <c r="S43" s="12">
        <v>8</v>
      </c>
    </row>
    <row r="44" spans="4:19" x14ac:dyDescent="0.3">
      <c r="D44" s="8"/>
      <c r="R44" s="13">
        <v>45694</v>
      </c>
      <c r="S44" s="12">
        <v>10</v>
      </c>
    </row>
    <row r="45" spans="4:19" x14ac:dyDescent="0.3">
      <c r="D45" s="8"/>
      <c r="R45" s="13">
        <v>45695</v>
      </c>
      <c r="S45" s="12">
        <v>5.666666666666667</v>
      </c>
    </row>
    <row r="46" spans="4:19" x14ac:dyDescent="0.3">
      <c r="D46" s="8"/>
      <c r="R46" s="13">
        <v>45696</v>
      </c>
      <c r="S46" s="12">
        <v>9</v>
      </c>
    </row>
    <row r="47" spans="4:19" x14ac:dyDescent="0.3">
      <c r="D47" s="8"/>
      <c r="R47" s="13">
        <v>45697</v>
      </c>
      <c r="S47" s="12">
        <v>7</v>
      </c>
    </row>
    <row r="48" spans="4:19" x14ac:dyDescent="0.3">
      <c r="D48" s="8"/>
      <c r="R48" s="13">
        <v>45699</v>
      </c>
      <c r="S48" s="12">
        <v>8</v>
      </c>
    </row>
    <row r="49" spans="4:19" x14ac:dyDescent="0.3">
      <c r="D49" s="8"/>
      <c r="R49" s="13">
        <v>45700</v>
      </c>
      <c r="S49" s="12">
        <v>7.75</v>
      </c>
    </row>
    <row r="50" spans="4:19" x14ac:dyDescent="0.3">
      <c r="D50" s="8"/>
      <c r="R50" s="13">
        <v>45701</v>
      </c>
      <c r="S50" s="12">
        <v>5.5</v>
      </c>
    </row>
    <row r="51" spans="4:19" x14ac:dyDescent="0.3">
      <c r="D51" s="8"/>
      <c r="R51" s="13">
        <v>45702</v>
      </c>
      <c r="S51" s="12">
        <v>9.5</v>
      </c>
    </row>
    <row r="52" spans="4:19" x14ac:dyDescent="0.3">
      <c r="D52" s="8"/>
      <c r="R52" s="13">
        <v>45703</v>
      </c>
      <c r="S52" s="12">
        <v>3</v>
      </c>
    </row>
    <row r="53" spans="4:19" x14ac:dyDescent="0.3">
      <c r="D53" s="8"/>
      <c r="R53" s="13">
        <v>45704</v>
      </c>
      <c r="S53" s="12">
        <v>12</v>
      </c>
    </row>
    <row r="54" spans="4:19" x14ac:dyDescent="0.3">
      <c r="D54" s="8"/>
      <c r="R54" s="13">
        <v>45705</v>
      </c>
      <c r="S54" s="12">
        <v>7.5</v>
      </c>
    </row>
    <row r="55" spans="4:19" x14ac:dyDescent="0.3">
      <c r="D55" s="8"/>
      <c r="R55" s="13">
        <v>45706</v>
      </c>
      <c r="S55" s="12">
        <v>8.6666666666666661</v>
      </c>
    </row>
    <row r="56" spans="4:19" x14ac:dyDescent="0.3">
      <c r="D56" s="8"/>
      <c r="R56" s="13">
        <v>45707</v>
      </c>
      <c r="S56" s="12">
        <v>5</v>
      </c>
    </row>
    <row r="57" spans="4:19" x14ac:dyDescent="0.3">
      <c r="D57" s="8"/>
      <c r="R57" s="13">
        <v>45708</v>
      </c>
      <c r="S57" s="12">
        <v>5.333333333333333</v>
      </c>
    </row>
    <row r="58" spans="4:19" x14ac:dyDescent="0.3">
      <c r="D58" s="8"/>
      <c r="R58" s="13">
        <v>45709</v>
      </c>
      <c r="S58" s="12">
        <v>6</v>
      </c>
    </row>
    <row r="59" spans="4:19" x14ac:dyDescent="0.3">
      <c r="D59" s="8"/>
      <c r="R59" s="13">
        <v>45710</v>
      </c>
      <c r="S59" s="12">
        <v>6</v>
      </c>
    </row>
    <row r="60" spans="4:19" x14ac:dyDescent="0.3">
      <c r="D60" s="8"/>
      <c r="R60" s="13">
        <v>45711</v>
      </c>
      <c r="S60" s="12">
        <v>3.5</v>
      </c>
    </row>
    <row r="61" spans="4:19" x14ac:dyDescent="0.3">
      <c r="D61" s="8"/>
      <c r="R61" s="13">
        <v>45712</v>
      </c>
      <c r="S61" s="12">
        <v>9.5</v>
      </c>
    </row>
    <row r="62" spans="4:19" x14ac:dyDescent="0.3">
      <c r="D62" s="8"/>
      <c r="R62" s="13">
        <v>45714</v>
      </c>
      <c r="S62" s="12">
        <v>6</v>
      </c>
    </row>
    <row r="63" spans="4:19" x14ac:dyDescent="0.3">
      <c r="D63" s="8"/>
      <c r="R63" s="13">
        <v>45715</v>
      </c>
      <c r="S63" s="12">
        <v>7</v>
      </c>
    </row>
    <row r="64" spans="4:19" x14ac:dyDescent="0.3">
      <c r="R64" s="13">
        <v>45716</v>
      </c>
      <c r="S64" s="12">
        <v>5.5</v>
      </c>
    </row>
    <row r="65" spans="18:19" x14ac:dyDescent="0.3">
      <c r="R65" s="13">
        <v>45717</v>
      </c>
      <c r="S65" s="12">
        <v>9</v>
      </c>
    </row>
    <row r="66" spans="18:19" x14ac:dyDescent="0.3">
      <c r="R66" s="13">
        <v>45718</v>
      </c>
      <c r="S66" s="12">
        <v>6.5</v>
      </c>
    </row>
    <row r="67" spans="18:19" x14ac:dyDescent="0.3">
      <c r="R67" s="13">
        <v>45719</v>
      </c>
      <c r="S67" s="12">
        <v>6.5</v>
      </c>
    </row>
    <row r="68" spans="18:19" x14ac:dyDescent="0.3">
      <c r="R68" s="13">
        <v>45720</v>
      </c>
      <c r="S68" s="12">
        <v>8</v>
      </c>
    </row>
    <row r="69" spans="18:19" x14ac:dyDescent="0.3">
      <c r="R69" s="13">
        <v>45721</v>
      </c>
      <c r="S69" s="12">
        <v>5</v>
      </c>
    </row>
    <row r="70" spans="18:19" x14ac:dyDescent="0.3">
      <c r="R70" s="13">
        <v>45723</v>
      </c>
      <c r="S70" s="12">
        <v>9</v>
      </c>
    </row>
    <row r="71" spans="18:19" x14ac:dyDescent="0.3">
      <c r="R71" s="13">
        <v>45724</v>
      </c>
      <c r="S71" s="12">
        <v>7</v>
      </c>
    </row>
    <row r="72" spans="18:19" x14ac:dyDescent="0.3">
      <c r="R72" s="13">
        <v>45726</v>
      </c>
      <c r="S72" s="12">
        <v>4.5</v>
      </c>
    </row>
    <row r="73" spans="18:19" x14ac:dyDescent="0.3">
      <c r="R73" s="13">
        <v>45727</v>
      </c>
      <c r="S73" s="12">
        <v>11</v>
      </c>
    </row>
    <row r="74" spans="18:19" x14ac:dyDescent="0.3">
      <c r="R74" s="13">
        <v>45728</v>
      </c>
      <c r="S74" s="12">
        <v>4</v>
      </c>
    </row>
    <row r="75" spans="18:19" x14ac:dyDescent="0.3">
      <c r="R75" s="13">
        <v>45729</v>
      </c>
      <c r="S75" s="12">
        <v>11</v>
      </c>
    </row>
    <row r="76" spans="18:19" x14ac:dyDescent="0.3">
      <c r="R76" s="13">
        <v>45731</v>
      </c>
      <c r="S76" s="12">
        <v>8.5</v>
      </c>
    </row>
    <row r="77" spans="18:19" x14ac:dyDescent="0.3">
      <c r="R77" s="13">
        <v>45732</v>
      </c>
      <c r="S77" s="12">
        <v>2</v>
      </c>
    </row>
    <row r="78" spans="18:19" x14ac:dyDescent="0.3">
      <c r="R78" s="13">
        <v>45733</v>
      </c>
      <c r="S78" s="12">
        <v>9</v>
      </c>
    </row>
    <row r="79" spans="18:19" x14ac:dyDescent="0.3">
      <c r="R79" s="13">
        <v>45734</v>
      </c>
      <c r="S79" s="12">
        <v>9.6666666666666661</v>
      </c>
    </row>
    <row r="80" spans="18:19" x14ac:dyDescent="0.3">
      <c r="R80" s="13">
        <v>45735</v>
      </c>
      <c r="S80" s="12">
        <v>6</v>
      </c>
    </row>
    <row r="81" spans="18:19" x14ac:dyDescent="0.3">
      <c r="R81" s="13">
        <v>45736</v>
      </c>
      <c r="S81" s="12">
        <v>6.5</v>
      </c>
    </row>
    <row r="82" spans="18:19" x14ac:dyDescent="0.3">
      <c r="R82" s="13">
        <v>45737</v>
      </c>
      <c r="S82" s="12">
        <v>1</v>
      </c>
    </row>
    <row r="83" spans="18:19" x14ac:dyDescent="0.3">
      <c r="R83" s="13">
        <v>45738</v>
      </c>
      <c r="S83" s="12">
        <v>10</v>
      </c>
    </row>
    <row r="84" spans="18:19" x14ac:dyDescent="0.3">
      <c r="R84" s="13">
        <v>45740</v>
      </c>
      <c r="S84" s="12">
        <v>5.5</v>
      </c>
    </row>
    <row r="85" spans="18:19" x14ac:dyDescent="0.3">
      <c r="R85" s="13">
        <v>45741</v>
      </c>
      <c r="S85" s="12">
        <v>4.666666666666667</v>
      </c>
    </row>
    <row r="86" spans="18:19" x14ac:dyDescent="0.3">
      <c r="R86" s="13">
        <v>45742</v>
      </c>
      <c r="S86" s="12">
        <v>4.5</v>
      </c>
    </row>
    <row r="87" spans="18:19" x14ac:dyDescent="0.3">
      <c r="R87" s="13">
        <v>45743</v>
      </c>
      <c r="S87" s="12">
        <v>7</v>
      </c>
    </row>
    <row r="88" spans="18:19" x14ac:dyDescent="0.3">
      <c r="R88" s="13">
        <v>45744</v>
      </c>
      <c r="S88" s="12">
        <v>8.5</v>
      </c>
    </row>
    <row r="89" spans="18:19" x14ac:dyDescent="0.3">
      <c r="R89" s="13">
        <v>45746</v>
      </c>
      <c r="S89" s="12">
        <v>5.666666666666667</v>
      </c>
    </row>
    <row r="90" spans="18:19" x14ac:dyDescent="0.3">
      <c r="R90" s="5" t="s">
        <v>223</v>
      </c>
      <c r="S90" s="12">
        <v>6.6554054054054053</v>
      </c>
    </row>
  </sheetData>
  <mergeCells count="3">
    <mergeCell ref="N12:P12"/>
    <mergeCell ref="N13:P13"/>
    <mergeCell ref="B4:C4"/>
  </mergeCells>
  <pageMargins left="0.7" right="0.7" top="0.75" bottom="0.75" header="0.3" footer="0.3"/>
  <drawing r:id="rId10"/>
  <extLst>
    <ext xmlns:x14="http://schemas.microsoft.com/office/spreadsheetml/2009/9/main" uri="{A8765BA9-456A-4dab-B4F3-ACF838C121DE}">
      <x14:slicerList>
        <x14:slicer r:id="rId11"/>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92FA5CE1-0763-4F09-A7B8-EA9BCF5A980C}">
  <ds:schemaRefs/>
</ds:datastoreItem>
</file>

<file path=customXml/itemProps2.xml><?xml version="1.0" encoding="utf-8"?>
<ds:datastoreItem xmlns:ds="http://schemas.openxmlformats.org/officeDocument/2006/customXml" ds:itemID="{B259104F-0B11-4621-98C2-0E8DF81CC40C}">
  <ds:schemaRefs/>
</ds:datastoreItem>
</file>

<file path=customXml/itemProps3.xml><?xml version="1.0" encoding="utf-8"?>
<ds:datastoreItem xmlns:ds="http://schemas.openxmlformats.org/officeDocument/2006/customXml" ds:itemID="{BBEA9872-9D79-4A89-A97B-34A3A26BF1E3}">
  <ds:schemaRefs/>
</ds:datastoreItem>
</file>

<file path=customXml/itemProps4.xml><?xml version="1.0" encoding="utf-8"?>
<ds:datastoreItem xmlns:ds="http://schemas.openxmlformats.org/officeDocument/2006/customXml" ds:itemID="{6E7AD935-7685-467E-BBCE-E2559B40D126}">
  <ds:schemaRefs/>
</ds:datastoreItem>
</file>

<file path=customXml/itemProps5.xml><?xml version="1.0" encoding="utf-8"?>
<ds:datastoreItem xmlns:ds="http://schemas.openxmlformats.org/officeDocument/2006/customXml" ds:itemID="{F9E9EE65-BF92-4E60-9C15-E7BB3F2A428C}">
  <ds:schemaRefs/>
</ds:datastoreItem>
</file>

<file path=customXml/itemProps6.xml><?xml version="1.0" encoding="utf-8"?>
<ds:datastoreItem xmlns:ds="http://schemas.openxmlformats.org/officeDocument/2006/customXml" ds:itemID="{F7DA9551-F99E-4D28-8D07-74F0416D3EA2}">
  <ds:schemaRefs/>
</ds:datastoreItem>
</file>

<file path=customXml/itemProps7.xml><?xml version="1.0" encoding="utf-8"?>
<ds:datastoreItem xmlns:ds="http://schemas.openxmlformats.org/officeDocument/2006/customXml" ds:itemID="{AC0B9ED5-1562-47F0-B2CE-1037FAD2AB61}">
  <ds:schemaRefs/>
</ds:datastoreItem>
</file>

<file path=customXml/itemProps8.xml><?xml version="1.0" encoding="utf-8"?>
<ds:datastoreItem xmlns:ds="http://schemas.openxmlformats.org/officeDocument/2006/customXml" ds:itemID="{15853E48-01F6-450A-93B7-A84C27FFD468}">
  <ds:schemaRefs/>
</ds:datastoreItem>
</file>

<file path=customXml/itemProps9.xml><?xml version="1.0" encoding="utf-8"?>
<ds:datastoreItem xmlns:ds="http://schemas.openxmlformats.org/officeDocument/2006/customXml" ds:itemID="{61C8DF35-E562-42F4-B48A-3020D91FCB14}">
  <ds:schemaRefs/>
</ds:datastoreItem>
</file>

<file path=customXml/itemProps10.xml><?xml version="1.0" encoding="utf-8"?>
<ds:datastoreItem xmlns:ds="http://schemas.openxmlformats.org/officeDocument/2006/customXml" ds:itemID="{1BD286E8-B9B8-4D66-AE93-424FF2A0D23D}">
  <ds:schemaRefs/>
</ds:datastoreItem>
</file>

<file path=customXml/itemProps11.xml><?xml version="1.0" encoding="utf-8"?>
<ds:datastoreItem xmlns:ds="http://schemas.openxmlformats.org/officeDocument/2006/customXml" ds:itemID="{1373259E-85B5-4487-9327-AB8E53D7EFE3}">
  <ds:schemaRefs/>
</ds:datastoreItem>
</file>

<file path=customXml/itemProps12.xml><?xml version="1.0" encoding="utf-8"?>
<ds:datastoreItem xmlns:ds="http://schemas.openxmlformats.org/officeDocument/2006/customXml" ds:itemID="{48773145-FB9E-4895-A088-379FADC81ADC}">
  <ds:schemaRefs/>
</ds:datastoreItem>
</file>

<file path=customXml/itemProps13.xml><?xml version="1.0" encoding="utf-8"?>
<ds:datastoreItem xmlns:ds="http://schemas.openxmlformats.org/officeDocument/2006/customXml" ds:itemID="{59711C4C-98B7-45CA-8AA2-FB4CB52462DC}">
  <ds:schemaRefs/>
</ds:datastoreItem>
</file>

<file path=customXml/itemProps14.xml><?xml version="1.0" encoding="utf-8"?>
<ds:datastoreItem xmlns:ds="http://schemas.openxmlformats.org/officeDocument/2006/customXml" ds:itemID="{170B3B7D-5FEE-4A46-AC73-73B0C87E3BA8}">
  <ds:schemaRefs/>
</ds:datastoreItem>
</file>

<file path=customXml/itemProps15.xml><?xml version="1.0" encoding="utf-8"?>
<ds:datastoreItem xmlns:ds="http://schemas.openxmlformats.org/officeDocument/2006/customXml" ds:itemID="{A9D316A3-4E4E-434E-A674-D6CABD796163}">
  <ds:schemaRefs/>
</ds:datastoreItem>
</file>

<file path=customXml/itemProps16.xml><?xml version="1.0" encoding="utf-8"?>
<ds:datastoreItem xmlns:ds="http://schemas.openxmlformats.org/officeDocument/2006/customXml" ds:itemID="{100DD8A5-3081-4C1F-8BCD-DBB29685FDA0}">
  <ds:schemaRefs/>
</ds:datastoreItem>
</file>

<file path=customXml/itemProps17.xml><?xml version="1.0" encoding="utf-8"?>
<ds:datastoreItem xmlns:ds="http://schemas.openxmlformats.org/officeDocument/2006/customXml" ds:itemID="{8234B6C0-92F7-4A7D-B8E4-AF5414BB53B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QC_Audit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Vinoth G R</dc:creator>
  <cp:lastModifiedBy>Vinoth G R</cp:lastModifiedBy>
  <dcterms:created xsi:type="dcterms:W3CDTF">2026-09-06T19:09:21Z</dcterms:created>
  <dcterms:modified xsi:type="dcterms:W3CDTF">2026-09-09T00:13:11Z</dcterms:modified>
</cp:coreProperties>
</file>